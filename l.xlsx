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cho\Google Drive\Formuli vsqkakvi\Opredelnq na skorost na prevozni sredstva pri PTP\"/>
    </mc:Choice>
  </mc:AlternateContent>
  <xr:revisionPtr revIDLastSave="0" documentId="13_ncr:1_{819E90EF-AE8A-4028-B0C6-6B0E5D5E361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Изчисление" sheetId="1" r:id="rId1"/>
    <sheet name="Текст Моментум 360" sheetId="2" r:id="rId2"/>
    <sheet name="Текст Теория на удара" sheetId="3" r:id="rId3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3" l="1"/>
  <c r="B49" i="3"/>
  <c r="M10" i="1"/>
  <c r="B10" i="1"/>
  <c r="U160" i="1"/>
  <c r="M56" i="1" l="1"/>
  <c r="B56" i="1"/>
  <c r="E190" i="3" l="1"/>
  <c r="B190" i="3"/>
  <c r="E183" i="3"/>
  <c r="B183" i="3"/>
  <c r="E160" i="3"/>
  <c r="B160" i="3"/>
  <c r="E153" i="3"/>
  <c r="B153" i="3"/>
  <c r="A164" i="3"/>
  <c r="A135" i="3"/>
  <c r="A109" i="2"/>
  <c r="A105" i="2"/>
  <c r="A202" i="2" l="1"/>
  <c r="A228" i="2" l="1"/>
  <c r="E170" i="2"/>
  <c r="B170" i="2"/>
  <c r="E163" i="2"/>
  <c r="B163" i="2"/>
  <c r="E140" i="2"/>
  <c r="B140" i="2"/>
  <c r="E133" i="2"/>
  <c r="B133" i="2"/>
  <c r="A144" i="2"/>
  <c r="A115" i="2"/>
  <c r="A460" i="3" l="1"/>
  <c r="A436" i="3"/>
  <c r="A411" i="3"/>
  <c r="A386" i="3"/>
  <c r="A357" i="3"/>
  <c r="A332" i="3"/>
  <c r="A307" i="3"/>
  <c r="A283" i="3"/>
  <c r="A254" i="3"/>
  <c r="A228" i="3"/>
  <c r="A127" i="3"/>
  <c r="A122" i="3"/>
  <c r="A93" i="3"/>
  <c r="A81" i="3"/>
  <c r="A30" i="3"/>
  <c r="A3" i="3"/>
  <c r="V26" i="1" l="1"/>
  <c r="V27" i="1"/>
  <c r="V28" i="1"/>
  <c r="V29" i="1"/>
  <c r="B20" i="1" l="1"/>
  <c r="A446" i="2" l="1"/>
  <c r="A421" i="2"/>
  <c r="A392" i="2"/>
  <c r="A367" i="2"/>
  <c r="A337" i="2"/>
  <c r="A310" i="2"/>
  <c r="A283" i="2"/>
  <c r="A258" i="2"/>
  <c r="A81" i="2"/>
  <c r="A61" i="2"/>
  <c r="A31" i="2"/>
  <c r="A3" i="2"/>
  <c r="X155" i="1" l="1"/>
  <c r="X154" i="1"/>
  <c r="S155" i="1"/>
  <c r="S154" i="1"/>
  <c r="I155" i="1"/>
  <c r="I154" i="1"/>
  <c r="C155" i="1"/>
  <c r="C154" i="1"/>
  <c r="W155" i="1" l="1"/>
  <c r="B203" i="3"/>
  <c r="B183" i="2"/>
  <c r="H155" i="1"/>
  <c r="B178" i="2"/>
  <c r="B155" i="1"/>
  <c r="R155" i="1"/>
  <c r="B198" i="3"/>
  <c r="B182" i="2"/>
  <c r="H154" i="1"/>
  <c r="W154" i="1"/>
  <c r="B202" i="3"/>
  <c r="B177" i="2"/>
  <c r="B154" i="1"/>
  <c r="R154" i="1"/>
  <c r="B197" i="3"/>
  <c r="B474" i="3"/>
  <c r="B473" i="3"/>
  <c r="B449" i="3"/>
  <c r="B448" i="3"/>
  <c r="B423" i="3"/>
  <c r="B422" i="3"/>
  <c r="B399" i="3"/>
  <c r="B398" i="3"/>
  <c r="B372" i="3"/>
  <c r="B371" i="3"/>
  <c r="B346" i="3"/>
  <c r="B345" i="3"/>
  <c r="B319" i="3"/>
  <c r="B318" i="3"/>
  <c r="B296" i="3"/>
  <c r="B295" i="3"/>
  <c r="B106" i="3"/>
  <c r="B105" i="3"/>
  <c r="B98" i="3"/>
  <c r="B96" i="3"/>
  <c r="B95" i="3"/>
  <c r="B86" i="3"/>
  <c r="B84" i="3"/>
  <c r="B83" i="3"/>
  <c r="B46" i="3"/>
  <c r="B45" i="3"/>
  <c r="B21" i="3"/>
  <c r="B18" i="3"/>
  <c r="B17" i="3"/>
  <c r="AA60" i="1" l="1"/>
  <c r="B270" i="3" s="1"/>
  <c r="AA59" i="1"/>
  <c r="B269" i="3" s="1"/>
  <c r="AA55" i="1"/>
  <c r="R60" i="1"/>
  <c r="B244" i="3" s="1"/>
  <c r="R59" i="1"/>
  <c r="B243" i="3" s="1"/>
  <c r="R55" i="1"/>
  <c r="D117" i="3"/>
  <c r="D116" i="3"/>
  <c r="D115" i="3"/>
  <c r="D114" i="3"/>
  <c r="B460" i="2"/>
  <c r="B459" i="2"/>
  <c r="B434" i="2"/>
  <c r="B433" i="2"/>
  <c r="B406" i="2"/>
  <c r="B405" i="2"/>
  <c r="B380" i="2"/>
  <c r="B379" i="2"/>
  <c r="B353" i="2"/>
  <c r="B352" i="2"/>
  <c r="B325" i="2"/>
  <c r="B324" i="2"/>
  <c r="B295" i="2"/>
  <c r="B294" i="2"/>
  <c r="B271" i="2"/>
  <c r="B270" i="2"/>
  <c r="B244" i="2"/>
  <c r="B243" i="2"/>
  <c r="B239" i="2"/>
  <c r="B95" i="2"/>
  <c r="B93" i="2"/>
  <c r="B92" i="2"/>
  <c r="B217" i="2"/>
  <c r="B216" i="2"/>
  <c r="B212" i="2"/>
  <c r="B73" i="2"/>
  <c r="B71" i="2"/>
  <c r="B70" i="2"/>
  <c r="B50" i="2"/>
  <c r="B47" i="2"/>
  <c r="B46" i="2"/>
  <c r="B21" i="2"/>
  <c r="B18" i="2"/>
  <c r="B17" i="2"/>
  <c r="R79" i="1" l="1"/>
  <c r="R92" i="1" s="1"/>
  <c r="B239" i="3"/>
  <c r="AA79" i="1"/>
  <c r="AA92" i="1" s="1"/>
  <c r="B265" i="3"/>
  <c r="R121" i="1" l="1"/>
  <c r="B450" i="3"/>
  <c r="B347" i="3"/>
  <c r="B400" i="3"/>
  <c r="B297" i="3"/>
  <c r="AA121" i="1"/>
  <c r="B424" i="3"/>
  <c r="B320" i="3"/>
  <c r="B475" i="3"/>
  <c r="B373" i="3"/>
  <c r="B296" i="2"/>
  <c r="B79" i="1"/>
  <c r="M61" i="1"/>
  <c r="AA61" i="1" s="1"/>
  <c r="B61" i="1"/>
  <c r="R61" i="1" s="1"/>
  <c r="M57" i="1"/>
  <c r="B57" i="1"/>
  <c r="AA56" i="1"/>
  <c r="B266" i="3" s="1"/>
  <c r="R56" i="1"/>
  <c r="B240" i="3" s="1"/>
  <c r="M7" i="1"/>
  <c r="B49" i="2" s="1"/>
  <c r="B7" i="1"/>
  <c r="B402" i="3" l="1"/>
  <c r="B245" i="3"/>
  <c r="B426" i="3"/>
  <c r="B271" i="3"/>
  <c r="B20" i="2"/>
  <c r="B20" i="3"/>
  <c r="B241" i="2"/>
  <c r="AA57" i="1"/>
  <c r="B267" i="3" s="1"/>
  <c r="B214" i="2"/>
  <c r="R57" i="1"/>
  <c r="B241" i="3" s="1"/>
  <c r="B213" i="2"/>
  <c r="B58" i="1"/>
  <c r="R58" i="1" s="1"/>
  <c r="B240" i="2"/>
  <c r="M58" i="1"/>
  <c r="AA58" i="1" s="1"/>
  <c r="B326" i="2"/>
  <c r="B272" i="2"/>
  <c r="B435" i="2"/>
  <c r="B381" i="2"/>
  <c r="B218" i="2"/>
  <c r="B383" i="2"/>
  <c r="B461" i="2"/>
  <c r="B354" i="2"/>
  <c r="B407" i="2"/>
  <c r="B245" i="2"/>
  <c r="B409" i="2"/>
  <c r="M121" i="1"/>
  <c r="B121" i="1"/>
  <c r="R80" i="1" l="1"/>
  <c r="B242" i="3"/>
  <c r="AA80" i="1"/>
  <c r="B268" i="3"/>
  <c r="B215" i="2"/>
  <c r="B80" i="1"/>
  <c r="B242" i="2"/>
  <c r="M80" i="1"/>
  <c r="B44" i="3" l="1"/>
  <c r="B476" i="3"/>
  <c r="B374" i="3"/>
  <c r="B321" i="3"/>
  <c r="B16" i="3"/>
  <c r="B451" i="3"/>
  <c r="B348" i="3"/>
  <c r="B298" i="3"/>
  <c r="B327" i="2"/>
  <c r="B436" i="2"/>
  <c r="B273" i="2"/>
  <c r="B355" i="2"/>
  <c r="B297" i="2"/>
  <c r="B462" i="2"/>
  <c r="B16" i="2" l="1"/>
  <c r="B6" i="1"/>
  <c r="M6" i="1"/>
  <c r="B45" i="2"/>
  <c r="B47" i="3" l="1"/>
  <c r="B19" i="3"/>
  <c r="B48" i="2"/>
  <c r="B19" i="2"/>
  <c r="S153" i="1" l="1"/>
  <c r="V30" i="1"/>
  <c r="X153" i="1"/>
  <c r="V31" i="1"/>
  <c r="D119" i="3" s="1"/>
  <c r="B26" i="3"/>
  <c r="C153" i="1"/>
  <c r="B54" i="3"/>
  <c r="I153" i="1"/>
  <c r="B26" i="2"/>
  <c r="B16" i="1"/>
  <c r="B85" i="3" s="1"/>
  <c r="B11" i="1"/>
  <c r="B56" i="2"/>
  <c r="M16" i="1"/>
  <c r="M11" i="1"/>
  <c r="B176" i="2" l="1"/>
  <c r="B153" i="1"/>
  <c r="R153" i="1"/>
  <c r="B196" i="3"/>
  <c r="B201" i="3"/>
  <c r="W153" i="1"/>
  <c r="B181" i="2"/>
  <c r="H153" i="1"/>
  <c r="R30" i="1"/>
  <c r="R31" i="1" s="1"/>
  <c r="D118" i="3"/>
  <c r="Z30" i="1"/>
  <c r="Z31" i="1" s="1"/>
  <c r="B94" i="2"/>
  <c r="B97" i="3"/>
  <c r="B57" i="2"/>
  <c r="B55" i="3"/>
  <c r="B27" i="2"/>
  <c r="B27" i="3"/>
  <c r="B22" i="1"/>
  <c r="M22" i="1"/>
  <c r="B110" i="2" s="1"/>
  <c r="B72" i="2"/>
  <c r="C152" i="1" l="1"/>
  <c r="B106" i="2"/>
  <c r="X152" i="1"/>
  <c r="S152" i="1"/>
  <c r="B376" i="3"/>
  <c r="B129" i="3"/>
  <c r="AA62" i="1"/>
  <c r="B272" i="3" s="1"/>
  <c r="B25" i="1"/>
  <c r="B124" i="3"/>
  <c r="B350" i="3"/>
  <c r="R62" i="1"/>
  <c r="B246" i="3" s="1"/>
  <c r="M25" i="1"/>
  <c r="B329" i="2"/>
  <c r="B77" i="2"/>
  <c r="B62" i="1"/>
  <c r="B23" i="1"/>
  <c r="M23" i="1"/>
  <c r="M62" i="1"/>
  <c r="B99" i="2"/>
  <c r="B195" i="3" l="1"/>
  <c r="R152" i="1"/>
  <c r="W152" i="1"/>
  <c r="B200" i="3"/>
  <c r="B175" i="2"/>
  <c r="B152" i="1"/>
  <c r="B100" i="2"/>
  <c r="B111" i="2"/>
  <c r="B78" i="2"/>
  <c r="B107" i="2"/>
  <c r="AA64" i="1"/>
  <c r="AA94" i="1" s="1"/>
  <c r="B380" i="3" s="1"/>
  <c r="B26" i="1"/>
  <c r="B125" i="3"/>
  <c r="R64" i="1"/>
  <c r="R129" i="1" s="1"/>
  <c r="M26" i="1"/>
  <c r="B130" i="3"/>
  <c r="B219" i="2"/>
  <c r="B66" i="1"/>
  <c r="B223" i="2" s="1"/>
  <c r="B246" i="2"/>
  <c r="M66" i="1"/>
  <c r="I152" i="1" s="1"/>
  <c r="W169" i="1" l="1"/>
  <c r="W174" i="1" s="1"/>
  <c r="X163" i="1"/>
  <c r="X168" i="1" s="1"/>
  <c r="E186" i="3" s="1"/>
  <c r="W163" i="1"/>
  <c r="X169" i="1"/>
  <c r="X174" i="1" s="1"/>
  <c r="E191" i="3" s="1"/>
  <c r="C169" i="1"/>
  <c r="C163" i="1"/>
  <c r="B169" i="1"/>
  <c r="B163" i="1"/>
  <c r="R169" i="1"/>
  <c r="S163" i="1"/>
  <c r="R163" i="1"/>
  <c r="S169" i="1"/>
  <c r="S174" i="1" s="1"/>
  <c r="E161" i="3" s="1"/>
  <c r="B157" i="3"/>
  <c r="B152" i="3"/>
  <c r="B180" i="2"/>
  <c r="H152" i="1"/>
  <c r="AA65" i="1"/>
  <c r="M71" i="1" s="1"/>
  <c r="B425" i="3"/>
  <c r="AA147" i="1"/>
  <c r="B276" i="3"/>
  <c r="AA129" i="1"/>
  <c r="M70" i="1"/>
  <c r="AA81" i="1"/>
  <c r="AA85" i="1" s="1"/>
  <c r="B326" i="3" s="1"/>
  <c r="AA111" i="1"/>
  <c r="AA123" i="1" s="1"/>
  <c r="B482" i="3" s="1"/>
  <c r="AA105" i="1"/>
  <c r="B477" i="3" s="1"/>
  <c r="B375" i="3"/>
  <c r="R111" i="1"/>
  <c r="R123" i="1" s="1"/>
  <c r="B456" i="3" s="1"/>
  <c r="R105" i="1"/>
  <c r="B452" i="3" s="1"/>
  <c r="R94" i="1"/>
  <c r="B354" i="3" s="1"/>
  <c r="R147" i="1"/>
  <c r="B349" i="3"/>
  <c r="B250" i="3"/>
  <c r="B401" i="3"/>
  <c r="B70" i="1"/>
  <c r="R81" i="1"/>
  <c r="R82" i="1" s="1"/>
  <c r="R65" i="1"/>
  <c r="B328" i="2"/>
  <c r="B94" i="1"/>
  <c r="B333" i="2" s="1"/>
  <c r="B81" i="1"/>
  <c r="B129" i="1"/>
  <c r="B111" i="1"/>
  <c r="B123" i="1" s="1"/>
  <c r="B147" i="1"/>
  <c r="B67" i="1"/>
  <c r="B224" i="2" s="1"/>
  <c r="B105" i="1"/>
  <c r="B356" i="2"/>
  <c r="B357" i="2"/>
  <c r="M94" i="1"/>
  <c r="B361" i="2" s="1"/>
  <c r="M105" i="1"/>
  <c r="M147" i="1"/>
  <c r="M67" i="1"/>
  <c r="B251" i="2" s="1"/>
  <c r="M129" i="1"/>
  <c r="B250" i="2"/>
  <c r="M81" i="1"/>
  <c r="M111" i="1"/>
  <c r="M123" i="1" s="1"/>
  <c r="I169" i="1" l="1"/>
  <c r="I163" i="1"/>
  <c r="I168" i="1" s="1"/>
  <c r="E166" i="2" s="1"/>
  <c r="H169" i="1"/>
  <c r="H163" i="1"/>
  <c r="W156" i="1"/>
  <c r="X156" i="1" s="1"/>
  <c r="E187" i="3"/>
  <c r="E157" i="3"/>
  <c r="R174" i="1"/>
  <c r="R168" i="1"/>
  <c r="B156" i="3" s="1"/>
  <c r="W168" i="1"/>
  <c r="B186" i="3" s="1"/>
  <c r="B182" i="3"/>
  <c r="S168" i="1"/>
  <c r="E156" i="3" s="1"/>
  <c r="E152" i="3"/>
  <c r="C174" i="1"/>
  <c r="E137" i="2"/>
  <c r="E182" i="3"/>
  <c r="B174" i="1"/>
  <c r="B137" i="2"/>
  <c r="B187" i="3"/>
  <c r="E132" i="2"/>
  <c r="C168" i="1"/>
  <c r="E136" i="2" s="1"/>
  <c r="B168" i="1"/>
  <c r="B136" i="2" s="1"/>
  <c r="B132" i="2"/>
  <c r="H168" i="1"/>
  <c r="B166" i="2" s="1"/>
  <c r="I174" i="1"/>
  <c r="E171" i="2" s="1"/>
  <c r="H174" i="1"/>
  <c r="W176" i="1"/>
  <c r="B191" i="3"/>
  <c r="B277" i="3"/>
  <c r="AA82" i="1"/>
  <c r="B322" i="3"/>
  <c r="AA136" i="1"/>
  <c r="AA124" i="1"/>
  <c r="B483" i="3" s="1"/>
  <c r="R124" i="1"/>
  <c r="B457" i="3" s="1"/>
  <c r="B407" i="3"/>
  <c r="R85" i="1"/>
  <c r="B303" i="3" s="1"/>
  <c r="B71" i="1"/>
  <c r="B251" i="3"/>
  <c r="R136" i="1"/>
  <c r="B299" i="3"/>
  <c r="B408" i="2"/>
  <c r="M136" i="1"/>
  <c r="M85" i="1"/>
  <c r="B303" i="2" s="1"/>
  <c r="M82" i="1"/>
  <c r="B299" i="2" s="1"/>
  <c r="B298" i="2"/>
  <c r="B382" i="2"/>
  <c r="B274" i="2"/>
  <c r="B85" i="1"/>
  <c r="B279" i="2" s="1"/>
  <c r="B82" i="1"/>
  <c r="B275" i="2" s="1"/>
  <c r="B136" i="1"/>
  <c r="M124" i="1"/>
  <c r="B469" i="2" s="1"/>
  <c r="B468" i="2"/>
  <c r="B441" i="2"/>
  <c r="B124" i="1"/>
  <c r="B442" i="2" s="1"/>
  <c r="B463" i="2"/>
  <c r="B414" i="2"/>
  <c r="B388" i="2"/>
  <c r="B437" i="2"/>
  <c r="B161" i="3" l="1"/>
  <c r="R156" i="1"/>
  <c r="S156" i="1" s="1"/>
  <c r="B199" i="3" s="1"/>
  <c r="B156" i="1"/>
  <c r="C156" i="1" s="1"/>
  <c r="H156" i="1"/>
  <c r="I156" i="1" s="1"/>
  <c r="R176" i="1"/>
  <c r="B162" i="2"/>
  <c r="B141" i="2"/>
  <c r="E141" i="2"/>
  <c r="B176" i="1"/>
  <c r="E162" i="2"/>
  <c r="E167" i="2"/>
  <c r="B167" i="2"/>
  <c r="B204" i="3"/>
  <c r="B171" i="2"/>
  <c r="H176" i="1"/>
  <c r="B179" i="2" l="1"/>
  <c r="B18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Neli Milkova</author>
    <author>Dancho</author>
  </authors>
  <commentList>
    <comment ref="B6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DEFAULT
ПРИ СПУСКАНЕ.
</t>
        </r>
        <r>
          <rPr>
            <sz val="9"/>
            <color indexed="81"/>
            <rFont val="Tahoma"/>
            <family val="2"/>
            <charset val="204"/>
          </rPr>
          <t>Ако има изкачване да се замени знакът - във формулата със знак +</t>
        </r>
      </text>
    </comment>
    <comment ref="M6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DEFAULT
ПРИ СПУСКАНЕ.
</t>
        </r>
        <r>
          <rPr>
            <sz val="9"/>
            <color indexed="81"/>
            <rFont val="Tahoma"/>
            <family val="2"/>
            <charset val="204"/>
          </rPr>
          <t xml:space="preserve">Ако има изкачване да се замени знакът </t>
        </r>
        <r>
          <rPr>
            <b/>
            <sz val="9"/>
            <color indexed="81"/>
            <rFont val="Tahoma"/>
            <family val="2"/>
            <charset val="204"/>
          </rPr>
          <t>-</t>
        </r>
        <r>
          <rPr>
            <sz val="9"/>
            <color indexed="81"/>
            <rFont val="Tahoma"/>
            <family val="2"/>
            <charset val="204"/>
          </rPr>
          <t xml:space="preserve"> във формулата със знак </t>
        </r>
        <r>
          <rPr>
            <b/>
            <sz val="9"/>
            <color indexed="81"/>
            <rFont val="Tahoma"/>
            <family val="2"/>
            <charset val="204"/>
          </rPr>
          <t>+</t>
        </r>
      </text>
    </comment>
    <comment ref="B19" authorId="1" shapeId="0" xr:uid="{00000000-0006-0000-0000-000003000000}">
      <text>
        <r>
          <rPr>
            <b/>
            <sz val="14"/>
            <color indexed="81"/>
            <rFont val="Tahoma"/>
            <family val="2"/>
            <charset val="204"/>
          </rPr>
          <t>От 0-100  " -к"
от 100-200  "+к"</t>
        </r>
      </text>
    </comment>
    <comment ref="B58" authorId="1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При спускане
При изкачване да се замени знак -  със знак + във формулата</t>
        </r>
      </text>
    </comment>
    <comment ref="M58" authorId="1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При спускане
При изкачване да се замени знак -  със знак + във формулата</t>
        </r>
      </text>
    </comment>
    <comment ref="F160" authorId="1" shapeId="0" xr:uid="{94725B8D-D1E3-41A1-9011-55C2FB9E8674}">
      <text>
        <r>
          <rPr>
            <sz val="14"/>
            <color indexed="81"/>
            <rFont val="Tahoma"/>
            <family val="2"/>
            <charset val="204"/>
          </rPr>
          <t>1 за права графика
-1 за обърната графика</t>
        </r>
      </text>
    </comment>
    <comment ref="U160" authorId="1" shapeId="0" xr:uid="{C7B06E23-CB5B-438E-BF49-3B1C334D94FA}">
      <text>
        <r>
          <rPr>
            <sz val="14"/>
            <color indexed="81"/>
            <rFont val="Tahoma"/>
            <family val="2"/>
            <charset val="204"/>
          </rPr>
          <t>1 за права графика
-1 за обърната графика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Neli Milkova</author>
  </authors>
  <commentList>
    <comment ref="B19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При спускане !!!
При изкачване да се промени със знак +</t>
        </r>
      </text>
    </comment>
    <comment ref="B48" authorId="0" shapeId="0" xr:uid="{00000000-0006-0000-0100-000002000000}">
      <text>
        <r>
          <rPr>
            <sz val="9"/>
            <color indexed="81"/>
            <rFont val="Tahoma"/>
            <family val="2"/>
            <charset val="204"/>
          </rPr>
          <t xml:space="preserve">При спускане !!!
При изкачване да се промени със знак +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Neli Milkova</author>
  </authors>
  <commentList>
    <comment ref="B19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При спускане !!!
При изкачване да се промени със знак +</t>
        </r>
      </text>
    </comment>
    <comment ref="B47" authorId="0" shapeId="0" xr:uid="{00000000-0006-0000-0200-000002000000}">
      <text>
        <r>
          <rPr>
            <sz val="9"/>
            <color indexed="81"/>
            <rFont val="Tahoma"/>
            <family val="2"/>
            <charset val="204"/>
          </rPr>
          <t xml:space="preserve">При спускане !!!
При изкачване да се промени със знак +
</t>
        </r>
      </text>
    </comment>
  </commentList>
</comments>
</file>

<file path=xl/sharedStrings.xml><?xml version="1.0" encoding="utf-8"?>
<sst xmlns="http://schemas.openxmlformats.org/spreadsheetml/2006/main" count="1209" uniqueCount="319">
  <si>
    <t>μ ср 1</t>
  </si>
  <si>
    <t>среден коефициент на сцепление за съответния пътен участък</t>
  </si>
  <si>
    <t>μ ср 2</t>
  </si>
  <si>
    <t>σ 1</t>
  </si>
  <si>
    <t>метра</t>
  </si>
  <si>
    <t>път изминат от масовия център на автомобила след удара</t>
  </si>
  <si>
    <t>σ 2</t>
  </si>
  <si>
    <t>α°</t>
  </si>
  <si>
    <t>градуса</t>
  </si>
  <si>
    <t>ъгъл на наклон на пътното платно</t>
  </si>
  <si>
    <t>j 1</t>
  </si>
  <si>
    <t>спирачно закъснение</t>
  </si>
  <si>
    <t>j 2</t>
  </si>
  <si>
    <t xml:space="preserve">Vy 1 </t>
  </si>
  <si>
    <t>м/сек</t>
  </si>
  <si>
    <t>скорост погасена при удара (ако има такъв в края на движението на автомобила)</t>
  </si>
  <si>
    <t>Vy 2</t>
  </si>
  <si>
    <t>км/ч</t>
  </si>
  <si>
    <t xml:space="preserve"> Скорост на масовия център след удара</t>
  </si>
  <si>
    <t xml:space="preserve">u 1 </t>
  </si>
  <si>
    <t xml:space="preserve">  м/сек</t>
  </si>
  <si>
    <t xml:space="preserve">u 2  </t>
  </si>
  <si>
    <t xml:space="preserve">  км/ч</t>
  </si>
  <si>
    <t>Определяне скоростта на превозните средства в момента на удара</t>
  </si>
  <si>
    <t xml:space="preserve">α 1 = </t>
  </si>
  <si>
    <t xml:space="preserve"> - ъгъл измерен от абсцисната ос до скоростта на масовия център  преди удара</t>
  </si>
  <si>
    <t xml:space="preserve">α 2 = </t>
  </si>
  <si>
    <t xml:space="preserve">β 1 = </t>
  </si>
  <si>
    <t xml:space="preserve"> - ъгъл измерен от абсцисната ос до скоростта на масовия център  след удара</t>
  </si>
  <si>
    <t xml:space="preserve">β 2 = </t>
  </si>
  <si>
    <t xml:space="preserve">u 1 = </t>
  </si>
  <si>
    <t xml:space="preserve"> м/с</t>
  </si>
  <si>
    <t xml:space="preserve"> - скорост на масовия център след удара</t>
  </si>
  <si>
    <t xml:space="preserve">u 2  = </t>
  </si>
  <si>
    <t xml:space="preserve">m 1 = </t>
  </si>
  <si>
    <t>кг.</t>
  </si>
  <si>
    <t xml:space="preserve"> - пълна маса на автомобила</t>
  </si>
  <si>
    <t xml:space="preserve">m 2 = </t>
  </si>
  <si>
    <t>м/с</t>
  </si>
  <si>
    <t xml:space="preserve"> - скорост на превозните средства в момента на удара</t>
  </si>
  <si>
    <t>При наличие на спирачни следи преди удара</t>
  </si>
  <si>
    <t xml:space="preserve">tн   1 = </t>
  </si>
  <si>
    <t>сек.</t>
  </si>
  <si>
    <t xml:space="preserve"> - време за нарастване на спирачното закъснение от 0 до маскимум</t>
  </si>
  <si>
    <t xml:space="preserve">tн   2 = </t>
  </si>
  <si>
    <t xml:space="preserve">µ 1 = </t>
  </si>
  <si>
    <t xml:space="preserve">µ 2= </t>
  </si>
  <si>
    <t>α =</t>
  </si>
  <si>
    <t>градуси</t>
  </si>
  <si>
    <t>j   1 =</t>
  </si>
  <si>
    <t>м/сек 2</t>
  </si>
  <si>
    <t>Максимално спирачно закъснение при оставяне на спирачните следи преди удара</t>
  </si>
  <si>
    <t>j   2 =</t>
  </si>
  <si>
    <r>
      <rPr>
        <sz val="12"/>
        <color theme="1"/>
        <rFont val="Calibri"/>
        <family val="2"/>
        <charset val="204"/>
      </rPr>
      <t>S</t>
    </r>
    <r>
      <rPr>
        <sz val="12"/>
        <color theme="1"/>
        <rFont val="Times New Roman"/>
        <family val="1"/>
        <charset val="204"/>
      </rPr>
      <t xml:space="preserve">   1 = </t>
    </r>
  </si>
  <si>
    <t>Дължина на спирачните следи преди мястото на удара</t>
  </si>
  <si>
    <r>
      <rPr>
        <sz val="12"/>
        <color theme="1"/>
        <rFont val="Calibri"/>
        <family val="2"/>
        <charset val="204"/>
      </rPr>
      <t>S</t>
    </r>
    <r>
      <rPr>
        <sz val="12"/>
        <color theme="1"/>
        <rFont val="Times New Roman"/>
        <family val="1"/>
        <charset val="204"/>
      </rPr>
      <t xml:space="preserve">   2 = </t>
    </r>
  </si>
  <si>
    <t>b 1  =</t>
  </si>
  <si>
    <t>Надлъжна база на автомобила</t>
  </si>
  <si>
    <t>b 2  =</t>
  </si>
  <si>
    <r>
      <rPr>
        <sz val="12"/>
        <color theme="1"/>
        <rFont val="Calibri"/>
        <family val="2"/>
        <charset val="204"/>
      </rPr>
      <t>σ</t>
    </r>
    <r>
      <rPr>
        <sz val="12"/>
        <color theme="1"/>
        <rFont val="Times New Roman"/>
        <family val="1"/>
        <charset val="204"/>
      </rPr>
      <t xml:space="preserve"> 1 =</t>
    </r>
  </si>
  <si>
    <t>Ефективен спирачен път на автомобила</t>
  </si>
  <si>
    <r>
      <rPr>
        <sz val="12"/>
        <color theme="1"/>
        <rFont val="Calibri"/>
        <family val="2"/>
        <charset val="204"/>
      </rPr>
      <t xml:space="preserve">σ </t>
    </r>
    <r>
      <rPr>
        <sz val="12"/>
        <color theme="1"/>
        <rFont val="Times New Roman"/>
        <family val="1"/>
        <charset val="204"/>
      </rPr>
      <t>2 =</t>
    </r>
  </si>
  <si>
    <t xml:space="preserve">Vy   1 = </t>
  </si>
  <si>
    <t xml:space="preserve"> Скорост в момента на удара</t>
  </si>
  <si>
    <t xml:space="preserve"> - скорост на лекия автомобил  преди удара</t>
  </si>
  <si>
    <t xml:space="preserve">tp = </t>
  </si>
  <si>
    <t>сек</t>
  </si>
  <si>
    <t xml:space="preserve"> - време за реакция</t>
  </si>
  <si>
    <t>tp</t>
  </si>
  <si>
    <t xml:space="preserve">tсп = </t>
  </si>
  <si>
    <t xml:space="preserve"> - време за сработване на спирачния привод</t>
  </si>
  <si>
    <t>tсп</t>
  </si>
  <si>
    <t xml:space="preserve">tн = </t>
  </si>
  <si>
    <t xml:space="preserve"> - време за нарастване на спирачното закъснение</t>
  </si>
  <si>
    <t>tн</t>
  </si>
  <si>
    <t xml:space="preserve">j сп = </t>
  </si>
  <si>
    <t xml:space="preserve"> - спирачно закъснение</t>
  </si>
  <si>
    <t>j сп</t>
  </si>
  <si>
    <t xml:space="preserve">Va м/с = </t>
  </si>
  <si>
    <t>м/сек²</t>
  </si>
  <si>
    <t xml:space="preserve"> - скорост на лек автомобил 1 преди удара</t>
  </si>
  <si>
    <t>Va м/с</t>
  </si>
  <si>
    <t xml:space="preserve">Oз, м. = </t>
  </si>
  <si>
    <t xml:space="preserve"> - търсената опасна зона на лек автомобил 1</t>
  </si>
  <si>
    <t>Определяне времето за движение от точката на реакция на водача, до мястото на удара</t>
  </si>
  <si>
    <t>Определяне отстоянието на лекия автомобил в точката на реакция на водача</t>
  </si>
  <si>
    <t>Oy</t>
  </si>
  <si>
    <t>Определяне на скоростта, при която не би настъпил удар</t>
  </si>
  <si>
    <t>Vбезоп</t>
  </si>
  <si>
    <t xml:space="preserve">Определяне времето за изминаване на опасната зона на опасната зона </t>
  </si>
  <si>
    <t xml:space="preserve">Проверка </t>
  </si>
  <si>
    <t xml:space="preserve"> (би трябвало да е равно на спирачните следи преди удара)</t>
  </si>
  <si>
    <t>S сп =</t>
  </si>
  <si>
    <r>
      <rPr>
        <sz val="16"/>
        <color theme="1"/>
        <rFont val="Times New Roman"/>
        <family val="1"/>
        <charset val="204"/>
      </rPr>
      <t xml:space="preserve">µ </t>
    </r>
    <r>
      <rPr>
        <sz val="8"/>
        <color theme="1"/>
        <rFont val="Times New Roman"/>
        <family val="1"/>
        <charset val="204"/>
      </rPr>
      <t xml:space="preserve">Hi </t>
    </r>
    <r>
      <rPr>
        <sz val="14"/>
        <color theme="1"/>
        <rFont val="Times New Roman"/>
        <family val="1"/>
        <charset val="204"/>
      </rPr>
      <t xml:space="preserve">- Среден коефициент на сцепление за съответния пътен участък </t>
    </r>
  </si>
  <si>
    <t>α° =</t>
  </si>
  <si>
    <r>
      <t>σ</t>
    </r>
    <r>
      <rPr>
        <sz val="8"/>
        <color theme="1"/>
        <rFont val="Times New Roman"/>
        <family val="1"/>
        <charset val="204"/>
      </rPr>
      <t xml:space="preserve"> 1</t>
    </r>
    <r>
      <rPr>
        <sz val="14"/>
        <color theme="1"/>
        <rFont val="Times New Roman"/>
        <family val="1"/>
        <charset val="204"/>
      </rPr>
      <t xml:space="preserve"> =</t>
    </r>
  </si>
  <si>
    <r>
      <t xml:space="preserve">j </t>
    </r>
    <r>
      <rPr>
        <sz val="8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=</t>
    </r>
  </si>
  <si>
    <r>
      <t>u</t>
    </r>
    <r>
      <rPr>
        <sz val="8"/>
        <color theme="1"/>
        <rFont val="Times New Roman"/>
        <family val="1"/>
        <charset val="204"/>
      </rPr>
      <t xml:space="preserve">1   </t>
    </r>
    <r>
      <rPr>
        <sz val="14"/>
        <color theme="1"/>
        <rFont val="Times New Roman"/>
        <family val="1"/>
        <charset val="204"/>
      </rPr>
      <t xml:space="preserve">= </t>
    </r>
  </si>
  <si>
    <r>
      <t>α</t>
    </r>
    <r>
      <rPr>
        <sz val="8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- ъгъл измерен от абсцисната ос до скоростта на масовия център преди удара</t>
    </r>
  </si>
  <si>
    <r>
      <t>β</t>
    </r>
    <r>
      <rPr>
        <sz val="8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- ъгъл измерен от абсцисната ос до скоростта на масовия център след удара</t>
    </r>
  </si>
  <si>
    <r>
      <t xml:space="preserve">α </t>
    </r>
    <r>
      <rPr>
        <sz val="8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° = </t>
    </r>
  </si>
  <si>
    <r>
      <t xml:space="preserve">β </t>
    </r>
    <r>
      <rPr>
        <sz val="8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° = </t>
    </r>
  </si>
  <si>
    <r>
      <t>u</t>
    </r>
    <r>
      <rPr>
        <sz val="8"/>
        <color theme="1"/>
        <rFont val="Times New Roman"/>
        <family val="1"/>
        <charset val="204"/>
      </rPr>
      <t xml:space="preserve"> 1</t>
    </r>
    <r>
      <rPr>
        <sz val="14"/>
        <color theme="1"/>
        <rFont val="Times New Roman"/>
        <family val="1"/>
        <charset val="204"/>
      </rPr>
      <t xml:space="preserve"> =</t>
    </r>
  </si>
  <si>
    <r>
      <t>m</t>
    </r>
    <r>
      <rPr>
        <sz val="8"/>
        <color theme="1"/>
        <rFont val="Times New Roman"/>
        <family val="1"/>
        <charset val="204"/>
      </rPr>
      <t xml:space="preserve">1 </t>
    </r>
    <r>
      <rPr>
        <sz val="14"/>
        <color theme="1"/>
        <rFont val="Times New Roman"/>
        <family val="1"/>
        <charset val="204"/>
      </rPr>
      <t>=</t>
    </r>
  </si>
  <si>
    <t>кг</t>
  </si>
  <si>
    <r>
      <t>V</t>
    </r>
    <r>
      <rPr>
        <sz val="8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- търсената скорост преди настъпване на произшествието</t>
    </r>
  </si>
  <si>
    <r>
      <t>t</t>
    </r>
    <r>
      <rPr>
        <sz val="8"/>
        <color theme="1"/>
        <rFont val="Times New Roman"/>
        <family val="1"/>
        <charset val="204"/>
      </rPr>
      <t>н</t>
    </r>
    <r>
      <rPr>
        <sz val="14"/>
        <color theme="1"/>
        <rFont val="Times New Roman"/>
        <family val="1"/>
        <charset val="204"/>
      </rPr>
      <t xml:space="preserve"> - време за нарастване на спирачното закъснение от 0 до маскимум</t>
    </r>
  </si>
  <si>
    <r>
      <t>j</t>
    </r>
    <r>
      <rPr>
        <sz val="8"/>
        <color theme="1"/>
        <rFont val="Times New Roman"/>
        <family val="1"/>
        <charset val="204"/>
      </rPr>
      <t xml:space="preserve">1 </t>
    </r>
    <r>
      <rPr>
        <sz val="14"/>
        <color theme="1"/>
        <rFont val="Times New Roman"/>
        <family val="1"/>
        <charset val="204"/>
      </rPr>
      <t>- максимално спирачно закъснение</t>
    </r>
  </si>
  <si>
    <r>
      <t>S</t>
    </r>
    <r>
      <rPr>
        <sz val="8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- дължина на спирачните следи преди мястото на удара</t>
    </r>
  </si>
  <si>
    <t>м.</t>
  </si>
  <si>
    <r>
      <t>S</t>
    </r>
    <r>
      <rPr>
        <sz val="8"/>
        <color theme="1"/>
        <rFont val="Times New Roman"/>
        <family val="1"/>
        <charset val="204"/>
      </rPr>
      <t xml:space="preserve">оз 1 </t>
    </r>
    <r>
      <rPr>
        <sz val="14"/>
        <color theme="1"/>
        <rFont val="Times New Roman"/>
        <family val="1"/>
        <charset val="204"/>
      </rPr>
      <t>- търсеното разстояние на опасната зона на спиране в метри</t>
    </r>
  </si>
  <si>
    <r>
      <t>t</t>
    </r>
    <r>
      <rPr>
        <sz val="8"/>
        <color theme="1"/>
        <rFont val="Times New Roman"/>
        <family val="1"/>
        <charset val="204"/>
      </rPr>
      <t xml:space="preserve">р  </t>
    </r>
    <r>
      <rPr>
        <sz val="14"/>
        <color theme="1"/>
        <rFont val="Times New Roman"/>
        <family val="1"/>
        <charset val="204"/>
      </rPr>
      <t>– време за реакция на водача</t>
    </r>
  </si>
  <si>
    <r>
      <t>t</t>
    </r>
    <r>
      <rPr>
        <sz val="8"/>
        <color theme="1"/>
        <rFont val="Times New Roman"/>
        <family val="1"/>
        <charset val="204"/>
      </rPr>
      <t xml:space="preserve">сп  </t>
    </r>
    <r>
      <rPr>
        <sz val="14"/>
        <color theme="1"/>
        <rFont val="Times New Roman"/>
        <family val="1"/>
        <charset val="204"/>
      </rPr>
      <t>– време за сработване на спирачния привод</t>
    </r>
  </si>
  <si>
    <r>
      <t>t</t>
    </r>
    <r>
      <rPr>
        <sz val="8"/>
        <color theme="1"/>
        <rFont val="Times New Roman"/>
        <family val="1"/>
        <charset val="204"/>
      </rPr>
      <t xml:space="preserve">н </t>
    </r>
    <r>
      <rPr>
        <sz val="14"/>
        <color theme="1"/>
        <rFont val="Times New Roman"/>
        <family val="1"/>
        <charset val="204"/>
      </rPr>
      <t>– време за нарастване на спирачното закъснение от 0 до максимум</t>
    </r>
  </si>
  <si>
    <r>
      <t>t</t>
    </r>
    <r>
      <rPr>
        <sz val="8"/>
        <color theme="1"/>
        <rFont val="Times New Roman"/>
        <family val="1"/>
        <charset val="204"/>
      </rPr>
      <t>p</t>
    </r>
    <r>
      <rPr>
        <sz val="14"/>
        <color theme="1"/>
        <rFont val="Times New Roman"/>
        <family val="1"/>
        <charset val="204"/>
      </rPr>
      <t xml:space="preserve"> = </t>
    </r>
  </si>
  <si>
    <r>
      <t>t</t>
    </r>
    <r>
      <rPr>
        <sz val="8"/>
        <color theme="1"/>
        <rFont val="Times New Roman"/>
        <family val="1"/>
        <charset val="204"/>
      </rPr>
      <t>сп</t>
    </r>
    <r>
      <rPr>
        <sz val="14"/>
        <color theme="1"/>
        <rFont val="Times New Roman"/>
        <family val="1"/>
        <charset val="204"/>
      </rPr>
      <t xml:space="preserve"> = </t>
    </r>
  </si>
  <si>
    <r>
      <t>t</t>
    </r>
    <r>
      <rPr>
        <sz val="8"/>
        <color theme="1"/>
        <rFont val="Times New Roman"/>
        <family val="1"/>
        <charset val="204"/>
      </rPr>
      <t>н</t>
    </r>
    <r>
      <rPr>
        <sz val="14"/>
        <color theme="1"/>
        <rFont val="Times New Roman"/>
        <family val="1"/>
        <charset val="204"/>
      </rPr>
      <t xml:space="preserve"> = </t>
    </r>
  </si>
  <si>
    <r>
      <t xml:space="preserve">j </t>
    </r>
    <r>
      <rPr>
        <sz val="8"/>
        <color theme="1"/>
        <rFont val="Times New Roman"/>
        <family val="1"/>
        <charset val="204"/>
      </rPr>
      <t xml:space="preserve">сп </t>
    </r>
    <r>
      <rPr>
        <sz val="14"/>
        <color theme="1"/>
        <rFont val="Times New Roman"/>
        <family val="1"/>
        <charset val="204"/>
      </rPr>
      <t xml:space="preserve">= </t>
    </r>
  </si>
  <si>
    <r>
      <t>V</t>
    </r>
    <r>
      <rPr>
        <sz val="8"/>
        <color theme="1"/>
        <rFont val="Times New Roman"/>
        <family val="1"/>
        <charset val="204"/>
      </rPr>
      <t>a</t>
    </r>
    <r>
      <rPr>
        <sz val="14"/>
        <color theme="1"/>
        <rFont val="Times New Roman"/>
        <family val="1"/>
        <charset val="204"/>
      </rPr>
      <t xml:space="preserve">  = </t>
    </r>
  </si>
  <si>
    <r>
      <t>µ</t>
    </r>
    <r>
      <rPr>
        <sz val="8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 xml:space="preserve">- Среден коефициент на сцепление за съответния пътен участък </t>
    </r>
  </si>
  <si>
    <r>
      <t>j</t>
    </r>
    <r>
      <rPr>
        <sz val="9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>- максимално спирачно закъснение</t>
    </r>
  </si>
  <si>
    <t>g = 9,81 м/сек 2 - земно ускорение</t>
  </si>
  <si>
    <r>
      <t>u</t>
    </r>
    <r>
      <rPr>
        <sz val="8"/>
        <color theme="1"/>
        <rFont val="Times New Roman"/>
        <family val="1"/>
        <charset val="204"/>
      </rPr>
      <t xml:space="preserve">2   </t>
    </r>
    <r>
      <rPr>
        <sz val="14"/>
        <color theme="1"/>
        <rFont val="Times New Roman"/>
        <family val="1"/>
        <charset val="204"/>
      </rPr>
      <t xml:space="preserve">= </t>
    </r>
  </si>
  <si>
    <r>
      <t xml:space="preserve">α </t>
    </r>
    <r>
      <rPr>
        <sz val="8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 xml:space="preserve">° = </t>
    </r>
  </si>
  <si>
    <t xml:space="preserve">градуса </t>
  </si>
  <si>
    <r>
      <rPr>
        <sz val="14"/>
        <color theme="1"/>
        <rFont val="Times New Roman"/>
        <family val="1"/>
        <charset val="204"/>
      </rPr>
      <t xml:space="preserve">β </t>
    </r>
    <r>
      <rPr>
        <sz val="8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>° =</t>
    </r>
    <r>
      <rPr>
        <sz val="8"/>
        <color theme="1"/>
        <rFont val="Times New Roman"/>
        <family val="1"/>
        <charset val="204"/>
      </rPr>
      <t xml:space="preserve"> </t>
    </r>
  </si>
  <si>
    <r>
      <t xml:space="preserve">u </t>
    </r>
    <r>
      <rPr>
        <sz val="8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 xml:space="preserve">  =</t>
    </r>
  </si>
  <si>
    <r>
      <t xml:space="preserve">m </t>
    </r>
    <r>
      <rPr>
        <sz val="8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 xml:space="preserve"> =</t>
    </r>
  </si>
  <si>
    <r>
      <t>V</t>
    </r>
    <r>
      <rPr>
        <sz val="8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 xml:space="preserve"> - търсената скорост преди настъпване на произшествието</t>
    </r>
  </si>
  <si>
    <r>
      <t>j</t>
    </r>
    <r>
      <rPr>
        <sz val="8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>- максимално спирачно закъснение</t>
    </r>
  </si>
  <si>
    <r>
      <t>S</t>
    </r>
    <r>
      <rPr>
        <sz val="8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 xml:space="preserve"> - дължина на спирачните следи преди мястото на удара</t>
    </r>
  </si>
  <si>
    <r>
      <t>V</t>
    </r>
    <r>
      <rPr>
        <sz val="8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 xml:space="preserve">  =</t>
    </r>
  </si>
  <si>
    <r>
      <t>α</t>
    </r>
    <r>
      <rPr>
        <sz val="8"/>
        <color rgb="FF000000"/>
        <rFont val="Times New Roman"/>
        <family val="1"/>
        <charset val="204"/>
      </rPr>
      <t>Hi</t>
    </r>
    <r>
      <rPr>
        <sz val="14"/>
        <color rgb="FF000000"/>
        <rFont val="Times New Roman"/>
        <family val="1"/>
        <charset val="204"/>
      </rPr>
      <t xml:space="preserve"> - ъгъл на наклона на пътя в дадения участък, знакът „плюс” се поставя при изкачване на превозното средство, а „минус” – при спускане</t>
    </r>
  </si>
  <si>
    <r>
      <t xml:space="preserve">g = 9,81 м/сек </t>
    </r>
    <r>
      <rPr>
        <sz val="16"/>
        <color theme="1"/>
        <rFont val="Times New Roman"/>
        <family val="1"/>
        <charset val="204"/>
      </rPr>
      <t>²</t>
    </r>
    <r>
      <rPr>
        <sz val="14"/>
        <color theme="1"/>
        <rFont val="Times New Roman"/>
        <family val="1"/>
        <charset val="204"/>
      </rPr>
      <t xml:space="preserve"> - земно ускорение</t>
    </r>
  </si>
  <si>
    <r>
      <t>м/сек</t>
    </r>
    <r>
      <rPr>
        <sz val="16"/>
        <color theme="1"/>
        <rFont val="Times New Roman"/>
        <family val="1"/>
        <charset val="204"/>
      </rPr>
      <t>²</t>
    </r>
  </si>
  <si>
    <r>
      <t xml:space="preserve">м/сек </t>
    </r>
    <r>
      <rPr>
        <sz val="16"/>
        <color theme="1"/>
        <rFont val="Times New Roman"/>
        <family val="1"/>
        <charset val="204"/>
      </rPr>
      <t>²</t>
    </r>
  </si>
  <si>
    <t>м/сек ²</t>
  </si>
  <si>
    <t>Определяне на скоростите на превозните средства след удара</t>
  </si>
  <si>
    <r>
      <t>j</t>
    </r>
    <r>
      <rPr>
        <sz val="8"/>
        <color theme="1"/>
        <rFont val="Times New Roman"/>
        <family val="1"/>
        <charset val="204"/>
      </rPr>
      <t>i1</t>
    </r>
    <r>
      <rPr>
        <sz val="9"/>
        <color theme="1"/>
        <rFont val="Times New Roman"/>
        <family val="1"/>
        <charset val="204"/>
      </rPr>
      <t xml:space="preserve"> </t>
    </r>
    <r>
      <rPr>
        <sz val="14"/>
        <color theme="1"/>
        <rFont val="Times New Roman"/>
        <family val="1"/>
        <charset val="204"/>
      </rPr>
      <t xml:space="preserve">- максимално спирачно закъснение </t>
    </r>
  </si>
  <si>
    <r>
      <t xml:space="preserve">μ </t>
    </r>
    <r>
      <rPr>
        <sz val="8"/>
        <color theme="1"/>
        <rFont val="Times New Roman"/>
        <family val="1"/>
        <charset val="204"/>
      </rPr>
      <t xml:space="preserve">ср1 </t>
    </r>
    <r>
      <rPr>
        <sz val="14"/>
        <color theme="1"/>
        <rFont val="Times New Roman"/>
        <family val="1"/>
        <charset val="204"/>
      </rPr>
      <t>=</t>
    </r>
  </si>
  <si>
    <r>
      <rPr>
        <sz val="14"/>
        <color theme="1"/>
        <rFont val="Times New Roman"/>
        <family val="1"/>
        <charset val="204"/>
      </rPr>
      <t>t</t>
    </r>
    <r>
      <rPr>
        <sz val="8"/>
        <color theme="1"/>
        <rFont val="Times New Roman"/>
        <family val="1"/>
        <charset val="204"/>
      </rPr>
      <t>н 1</t>
    </r>
    <r>
      <rPr>
        <sz val="12"/>
        <color theme="1"/>
        <rFont val="Times New Roman"/>
        <family val="1"/>
        <charset val="204"/>
      </rPr>
      <t xml:space="preserve"> = </t>
    </r>
  </si>
  <si>
    <r>
      <rPr>
        <sz val="14"/>
        <color theme="1"/>
        <rFont val="Calibri"/>
        <family val="2"/>
        <charset val="204"/>
      </rPr>
      <t>µ</t>
    </r>
    <r>
      <rPr>
        <sz val="12"/>
        <color theme="1"/>
        <rFont val="Calibri"/>
        <family val="2"/>
        <charset val="204"/>
      </rPr>
      <t xml:space="preserve"> </t>
    </r>
    <r>
      <rPr>
        <sz val="8"/>
        <color theme="1"/>
        <rFont val="Calibri"/>
        <family val="2"/>
        <charset val="204"/>
      </rPr>
      <t>1</t>
    </r>
    <r>
      <rPr>
        <sz val="12"/>
        <color theme="1"/>
        <rFont val="Calibri"/>
        <family val="2"/>
        <charset val="204"/>
      </rPr>
      <t xml:space="preserve"> = </t>
    </r>
  </si>
  <si>
    <r>
      <t xml:space="preserve">α </t>
    </r>
    <r>
      <rPr>
        <sz val="8"/>
        <color theme="1"/>
        <rFont val="Calibri"/>
        <family val="2"/>
        <charset val="204"/>
      </rPr>
      <t>1</t>
    </r>
    <r>
      <rPr>
        <sz val="14"/>
        <color theme="1"/>
        <rFont val="Calibri"/>
        <family val="2"/>
        <charset val="204"/>
      </rPr>
      <t>=</t>
    </r>
  </si>
  <si>
    <t>дължина на спирачната следа до мястото на удара</t>
  </si>
  <si>
    <t>търсената скорост на удара</t>
  </si>
  <si>
    <t>[5]</t>
  </si>
  <si>
    <r>
      <t>V</t>
    </r>
    <r>
      <rPr>
        <sz val="8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=</t>
    </r>
  </si>
  <si>
    <r>
      <t>V</t>
    </r>
    <r>
      <rPr>
        <sz val="8"/>
        <color theme="1"/>
        <rFont val="Times New Roman"/>
        <family val="1"/>
        <charset val="204"/>
      </rPr>
      <t>у1</t>
    </r>
    <r>
      <rPr>
        <sz val="14"/>
        <color theme="1"/>
        <rFont val="Times New Roman"/>
        <family val="1"/>
        <charset val="204"/>
      </rPr>
      <t xml:space="preserve"> = </t>
    </r>
  </si>
  <si>
    <t>[6]</t>
  </si>
  <si>
    <r>
      <t>α</t>
    </r>
    <r>
      <rPr>
        <sz val="8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 xml:space="preserve"> - ъгъл измерен от абсцисната ос до скоростта на масовия център преди удара</t>
    </r>
  </si>
  <si>
    <r>
      <t>β</t>
    </r>
    <r>
      <rPr>
        <sz val="8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 xml:space="preserve"> - ъгъл измерен от абсцисната ос до скоростта на масовия център след удара</t>
    </r>
  </si>
  <si>
    <t xml:space="preserve">Vy 1 = </t>
  </si>
  <si>
    <t>[7]</t>
  </si>
  <si>
    <t>Определяне на опасните зони на превозните средства</t>
  </si>
  <si>
    <t>[8]</t>
  </si>
  <si>
    <t>[9]</t>
  </si>
  <si>
    <r>
      <t>S</t>
    </r>
    <r>
      <rPr>
        <sz val="8"/>
        <color theme="1"/>
        <rFont val="Times New Roman"/>
        <family val="1"/>
        <charset val="204"/>
      </rPr>
      <t xml:space="preserve">оз 2 </t>
    </r>
    <r>
      <rPr>
        <sz val="14"/>
        <color theme="1"/>
        <rFont val="Times New Roman"/>
        <family val="1"/>
        <charset val="204"/>
      </rPr>
      <t>- търсеното разстояние на опасната зона на спиране в метри</t>
    </r>
  </si>
  <si>
    <t>изчисление</t>
  </si>
  <si>
    <t>След заместване в [5], се получва</t>
  </si>
  <si>
    <t>След заместване в  [6],  се получава</t>
  </si>
  <si>
    <t>След заместване в  [7], се полуава</t>
  </si>
  <si>
    <t>След заместване в   [8], за скоростта преди удара  се получава:</t>
  </si>
  <si>
    <t>След заместване в [9], се получава</t>
  </si>
  <si>
    <t>[10]</t>
  </si>
  <si>
    <t>[11]</t>
  </si>
  <si>
    <t>След заместване в  [11], се получава</t>
  </si>
  <si>
    <t>[12]</t>
  </si>
  <si>
    <t>След заместване в  [12], се полуачава</t>
  </si>
  <si>
    <t>[13]</t>
  </si>
  <si>
    <t>След заместване в  [13], се полуачава</t>
  </si>
  <si>
    <t>секунди</t>
  </si>
  <si>
    <r>
      <t>Т</t>
    </r>
    <r>
      <rPr>
        <sz val="8"/>
        <color theme="1"/>
        <rFont val="Times New Roman"/>
        <family val="1"/>
        <charset val="204"/>
      </rPr>
      <t xml:space="preserve">у1 – </t>
    </r>
    <r>
      <rPr>
        <sz val="14"/>
        <color theme="1"/>
        <rFont val="Times New Roman"/>
        <family val="1"/>
        <charset val="204"/>
      </rPr>
      <t xml:space="preserve">търсеното време за спиране </t>
    </r>
  </si>
  <si>
    <r>
      <t>j</t>
    </r>
    <r>
      <rPr>
        <sz val="8"/>
        <color theme="1"/>
        <rFont val="Times New Roman"/>
        <family val="1"/>
        <charset val="204"/>
      </rPr>
      <t xml:space="preserve">сп1 </t>
    </r>
    <r>
      <rPr>
        <sz val="14"/>
        <color theme="1"/>
        <rFont val="Times New Roman"/>
        <family val="1"/>
        <charset val="204"/>
      </rPr>
      <t>– максимално спирачно закъснение</t>
    </r>
  </si>
  <si>
    <r>
      <t>V</t>
    </r>
    <r>
      <rPr>
        <sz val="8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 = </t>
    </r>
  </si>
  <si>
    <r>
      <t>V</t>
    </r>
    <r>
      <rPr>
        <sz val="8"/>
        <color theme="1"/>
        <rFont val="Times New Roman"/>
        <family val="1"/>
        <charset val="204"/>
      </rPr>
      <t>у1</t>
    </r>
    <r>
      <rPr>
        <sz val="14"/>
        <color theme="1"/>
        <rFont val="Times New Roman"/>
        <family val="1"/>
        <charset val="204"/>
      </rPr>
      <t xml:space="preserve">  = </t>
    </r>
  </si>
  <si>
    <t>V1 преди удара</t>
  </si>
  <si>
    <t>V2 преди удара</t>
  </si>
  <si>
    <t>Определяне времето за движение от началото на спирачните следи до мястото на удара</t>
  </si>
  <si>
    <t>[14]</t>
  </si>
  <si>
    <r>
      <t>Т</t>
    </r>
    <r>
      <rPr>
        <sz val="8"/>
        <color theme="1"/>
        <rFont val="Times New Roman"/>
        <family val="1"/>
        <charset val="204"/>
      </rPr>
      <t xml:space="preserve">у2 – </t>
    </r>
    <r>
      <rPr>
        <sz val="14"/>
        <color theme="1"/>
        <rFont val="Times New Roman"/>
        <family val="1"/>
        <charset val="204"/>
      </rPr>
      <t xml:space="preserve">търсеното време за спиране </t>
    </r>
  </si>
  <si>
    <r>
      <t>j</t>
    </r>
    <r>
      <rPr>
        <sz val="8"/>
        <color theme="1"/>
        <rFont val="Times New Roman"/>
        <family val="1"/>
        <charset val="204"/>
      </rPr>
      <t xml:space="preserve">сп2 </t>
    </r>
    <r>
      <rPr>
        <sz val="14"/>
        <color theme="1"/>
        <rFont val="Times New Roman"/>
        <family val="1"/>
        <charset val="204"/>
      </rPr>
      <t>– максимално спирачно закъснение</t>
    </r>
  </si>
  <si>
    <t>След заместване в  [14], се полуачава</t>
  </si>
  <si>
    <t>Определяне отстоянието от мястото на удара в точката на реакцията на водача</t>
  </si>
  <si>
    <t>[15]</t>
  </si>
  <si>
    <t>След заместване в [15], се получава</t>
  </si>
  <si>
    <r>
      <t>О</t>
    </r>
    <r>
      <rPr>
        <sz val="8"/>
        <color theme="1"/>
        <rFont val="Times New Roman"/>
        <family val="1"/>
        <charset val="204"/>
      </rPr>
      <t>у</t>
    </r>
    <r>
      <rPr>
        <sz val="14"/>
        <color theme="1"/>
        <rFont val="Times New Roman"/>
        <family val="1"/>
        <charset val="204"/>
      </rPr>
      <t xml:space="preserve"> = </t>
    </r>
  </si>
  <si>
    <r>
      <t>О</t>
    </r>
    <r>
      <rPr>
        <sz val="8"/>
        <color theme="1"/>
        <rFont val="Times New Roman"/>
        <family val="1"/>
        <charset val="204"/>
      </rPr>
      <t xml:space="preserve">у1 – </t>
    </r>
    <r>
      <rPr>
        <sz val="14"/>
        <color theme="1"/>
        <rFont val="Times New Roman"/>
        <family val="1"/>
        <charset val="204"/>
      </rPr>
      <t>търсеното отстояние от мястото на удара</t>
    </r>
  </si>
  <si>
    <r>
      <t>О</t>
    </r>
    <r>
      <rPr>
        <sz val="8"/>
        <color theme="1"/>
        <rFont val="Times New Roman"/>
        <family val="1"/>
        <charset val="204"/>
      </rPr>
      <t>у1</t>
    </r>
    <r>
      <rPr>
        <sz val="14"/>
        <color theme="1"/>
        <rFont val="Times New Roman"/>
        <family val="1"/>
        <charset val="204"/>
      </rPr>
      <t xml:space="preserve"> = </t>
    </r>
  </si>
  <si>
    <r>
      <t>О</t>
    </r>
    <r>
      <rPr>
        <sz val="8"/>
        <color theme="1"/>
        <rFont val="Times New Roman"/>
        <family val="1"/>
        <charset val="204"/>
      </rPr>
      <t xml:space="preserve">у2 – </t>
    </r>
    <r>
      <rPr>
        <sz val="14"/>
        <color theme="1"/>
        <rFont val="Times New Roman"/>
        <family val="1"/>
        <charset val="204"/>
      </rPr>
      <t>търсеното отстояние от мястото на удара</t>
    </r>
  </si>
  <si>
    <r>
      <t>σ</t>
    </r>
    <r>
      <rPr>
        <sz val="8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 xml:space="preserve">  = </t>
    </r>
  </si>
  <si>
    <r>
      <t>σ</t>
    </r>
    <r>
      <rPr>
        <sz val="8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 = </t>
    </r>
  </si>
  <si>
    <r>
      <t>V</t>
    </r>
    <r>
      <rPr>
        <sz val="8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= </t>
    </r>
  </si>
  <si>
    <t>Определяне безопасната скорост на движение на превозните средства - скорост, при която не би настъпил удар</t>
  </si>
  <si>
    <r>
      <t>j</t>
    </r>
    <r>
      <rPr>
        <sz val="8"/>
        <color theme="1"/>
        <rFont val="Times New Roman"/>
        <family val="1"/>
        <charset val="204"/>
      </rPr>
      <t xml:space="preserve">сп1 </t>
    </r>
    <r>
      <rPr>
        <sz val="14"/>
        <color theme="1"/>
        <rFont val="Times New Roman"/>
        <family val="1"/>
        <charset val="204"/>
      </rPr>
      <t>- максимално спирачно закъснение</t>
    </r>
  </si>
  <si>
    <r>
      <t>V</t>
    </r>
    <r>
      <rPr>
        <sz val="8"/>
        <color theme="1"/>
        <rFont val="Times New Roman"/>
        <family val="1"/>
        <charset val="204"/>
      </rPr>
      <t xml:space="preserve">безоп 1 – </t>
    </r>
    <r>
      <rPr>
        <sz val="14"/>
        <color theme="1"/>
        <rFont val="Times New Roman"/>
        <family val="1"/>
        <charset val="204"/>
      </rPr>
      <t xml:space="preserve">безопасната скорост на движение </t>
    </r>
  </si>
  <si>
    <t>[16]</t>
  </si>
  <si>
    <t>След заместване в [16], се получава</t>
  </si>
  <si>
    <r>
      <t>V</t>
    </r>
    <r>
      <rPr>
        <sz val="8"/>
        <color theme="1"/>
        <rFont val="Times New Roman"/>
        <family val="1"/>
        <charset val="204"/>
      </rPr>
      <t>безоп 1</t>
    </r>
    <r>
      <rPr>
        <sz val="14"/>
        <color theme="1"/>
        <rFont val="Times New Roman"/>
        <family val="1"/>
        <charset val="204"/>
      </rPr>
      <t xml:space="preserve"> </t>
    </r>
  </si>
  <si>
    <r>
      <t>V</t>
    </r>
    <r>
      <rPr>
        <sz val="8"/>
        <color theme="1"/>
        <rFont val="Times New Roman"/>
        <family val="1"/>
        <charset val="204"/>
      </rPr>
      <t xml:space="preserve">безоп 2 – </t>
    </r>
    <r>
      <rPr>
        <sz val="14"/>
        <color theme="1"/>
        <rFont val="Times New Roman"/>
        <family val="1"/>
        <charset val="204"/>
      </rPr>
      <t xml:space="preserve">безопасната скорост на движение </t>
    </r>
  </si>
  <si>
    <r>
      <t>j</t>
    </r>
    <r>
      <rPr>
        <sz val="8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>– максимално спирачно закъснение</t>
    </r>
  </si>
  <si>
    <t>[17]</t>
  </si>
  <si>
    <r>
      <t>V</t>
    </r>
    <r>
      <rPr>
        <sz val="8"/>
        <color theme="1"/>
        <rFont val="Times New Roman"/>
        <family val="1"/>
        <charset val="204"/>
      </rPr>
      <t>безоп2</t>
    </r>
    <r>
      <rPr>
        <sz val="14"/>
        <color theme="1"/>
        <rFont val="Times New Roman"/>
        <family val="1"/>
        <charset val="204"/>
      </rPr>
      <t xml:space="preserve"> </t>
    </r>
  </si>
  <si>
    <r>
      <t>О</t>
    </r>
    <r>
      <rPr>
        <sz val="8"/>
        <color theme="1"/>
        <rFont val="Times New Roman"/>
        <family val="1"/>
        <charset val="204"/>
      </rPr>
      <t>у2</t>
    </r>
    <r>
      <rPr>
        <sz val="14"/>
        <color theme="1"/>
        <rFont val="Times New Roman"/>
        <family val="1"/>
        <charset val="204"/>
      </rPr>
      <t xml:space="preserve"> = </t>
    </r>
  </si>
  <si>
    <r>
      <t>μ</t>
    </r>
    <r>
      <rPr>
        <sz val="8"/>
        <color theme="1"/>
        <rFont val="Times New Roman"/>
        <family val="1"/>
        <charset val="204"/>
      </rPr>
      <t xml:space="preserve"> ср2 </t>
    </r>
    <r>
      <rPr>
        <sz val="14"/>
        <color theme="1"/>
        <rFont val="Times New Roman"/>
        <family val="1"/>
        <charset val="204"/>
      </rPr>
      <t>= k</t>
    </r>
    <r>
      <rPr>
        <sz val="8"/>
        <color theme="1"/>
        <rFont val="Times New Roman"/>
        <family val="1"/>
        <charset val="204"/>
      </rPr>
      <t>r</t>
    </r>
    <r>
      <rPr>
        <sz val="14"/>
        <color theme="1"/>
        <rFont val="Times New Roman"/>
        <family val="1"/>
        <charset val="204"/>
      </rPr>
      <t xml:space="preserve"> . µ</t>
    </r>
    <r>
      <rPr>
        <sz val="8"/>
        <color theme="1"/>
        <rFont val="Times New Roman"/>
        <family val="1"/>
        <charset val="204"/>
      </rPr>
      <t>2</t>
    </r>
  </si>
  <si>
    <r>
      <t>μ</t>
    </r>
    <r>
      <rPr>
        <sz val="8"/>
        <color theme="1"/>
        <rFont val="Times New Roman"/>
        <family val="1"/>
        <charset val="204"/>
      </rPr>
      <t xml:space="preserve"> ср1 </t>
    </r>
    <r>
      <rPr>
        <sz val="14"/>
        <color theme="1"/>
        <rFont val="Times New Roman"/>
        <family val="1"/>
        <charset val="204"/>
      </rPr>
      <t>= k</t>
    </r>
    <r>
      <rPr>
        <sz val="8"/>
        <color theme="1"/>
        <rFont val="Times New Roman"/>
        <family val="1"/>
        <charset val="204"/>
      </rPr>
      <t>r</t>
    </r>
    <r>
      <rPr>
        <sz val="14"/>
        <color theme="1"/>
        <rFont val="Times New Roman"/>
        <family val="1"/>
        <charset val="204"/>
      </rPr>
      <t xml:space="preserve"> . µ</t>
    </r>
    <r>
      <rPr>
        <sz val="8"/>
        <color theme="1"/>
        <rFont val="Times New Roman"/>
        <family val="1"/>
        <charset val="204"/>
      </rPr>
      <t>1</t>
    </r>
  </si>
  <si>
    <r>
      <t xml:space="preserve">μ </t>
    </r>
    <r>
      <rPr>
        <sz val="8"/>
        <color theme="1"/>
        <rFont val="Times New Roman"/>
        <family val="1"/>
        <charset val="204"/>
      </rPr>
      <t xml:space="preserve">ср21 </t>
    </r>
    <r>
      <rPr>
        <sz val="14"/>
        <color theme="1"/>
        <rFont val="Times New Roman"/>
        <family val="1"/>
        <charset val="204"/>
      </rPr>
      <t>=</t>
    </r>
  </si>
  <si>
    <r>
      <t>σ</t>
    </r>
    <r>
      <rPr>
        <sz val="8"/>
        <color theme="1"/>
        <rFont val="Times New Roman"/>
        <family val="1"/>
        <charset val="204"/>
      </rPr>
      <t xml:space="preserve"> 21 </t>
    </r>
    <r>
      <rPr>
        <sz val="14"/>
        <color theme="1"/>
        <rFont val="Times New Roman"/>
        <family val="1"/>
        <charset val="204"/>
      </rPr>
      <t>=</t>
    </r>
  </si>
  <si>
    <r>
      <t xml:space="preserve">j </t>
    </r>
    <r>
      <rPr>
        <sz val="8"/>
        <color theme="1"/>
        <rFont val="Times New Roman"/>
        <family val="1"/>
        <charset val="204"/>
      </rPr>
      <t xml:space="preserve">21 </t>
    </r>
    <r>
      <rPr>
        <sz val="14"/>
        <color theme="1"/>
        <rFont val="Times New Roman"/>
        <family val="1"/>
        <charset val="204"/>
      </rPr>
      <t>=</t>
    </r>
  </si>
  <si>
    <r>
      <t>V</t>
    </r>
    <r>
      <rPr>
        <sz val="8"/>
        <color rgb="FFFF0000"/>
        <rFont val="Times New Roman"/>
        <family val="1"/>
        <charset val="204"/>
      </rPr>
      <t>y 21</t>
    </r>
    <r>
      <rPr>
        <sz val="14"/>
        <color rgb="FFFF0000"/>
        <rFont val="Times New Roman"/>
        <family val="1"/>
        <charset val="204"/>
      </rPr>
      <t xml:space="preserve"> = </t>
    </r>
  </si>
  <si>
    <r>
      <t>T</t>
    </r>
    <r>
      <rPr>
        <sz val="8"/>
        <color theme="1"/>
        <rFont val="Times New Roman"/>
        <family val="1"/>
        <charset val="204"/>
      </rPr>
      <t xml:space="preserve">y1 </t>
    </r>
    <r>
      <rPr>
        <sz val="14"/>
        <color theme="1"/>
        <rFont val="Times New Roman"/>
        <family val="1"/>
        <charset val="204"/>
      </rPr>
      <t>=</t>
    </r>
  </si>
  <si>
    <r>
      <t>T</t>
    </r>
    <r>
      <rPr>
        <sz val="8"/>
        <color theme="1"/>
        <rFont val="Times New Roman"/>
        <family val="1"/>
        <charset val="204"/>
      </rPr>
      <t xml:space="preserve">y2 </t>
    </r>
    <r>
      <rPr>
        <sz val="14"/>
        <color theme="1"/>
        <rFont val="Times New Roman"/>
        <family val="1"/>
        <charset val="204"/>
      </rPr>
      <t>=</t>
    </r>
  </si>
  <si>
    <r>
      <t>S</t>
    </r>
    <r>
      <rPr>
        <sz val="8"/>
        <rFont val="Times New Roman"/>
        <family val="1"/>
        <charset val="204"/>
      </rPr>
      <t xml:space="preserve">oз 1 </t>
    </r>
    <r>
      <rPr>
        <sz val="14"/>
        <rFont val="Times New Roman"/>
        <family val="1"/>
        <charset val="204"/>
      </rPr>
      <t xml:space="preserve"> = </t>
    </r>
  </si>
  <si>
    <r>
      <t>S</t>
    </r>
    <r>
      <rPr>
        <sz val="8"/>
        <rFont val="Times New Roman"/>
        <family val="1"/>
        <charset val="204"/>
      </rPr>
      <t xml:space="preserve">oз 2 </t>
    </r>
    <r>
      <rPr>
        <sz val="14"/>
        <rFont val="Times New Roman"/>
        <family val="1"/>
        <charset val="204"/>
      </rPr>
      <t xml:space="preserve"> = </t>
    </r>
  </si>
  <si>
    <r>
      <t>V</t>
    </r>
    <r>
      <rPr>
        <sz val="8"/>
        <color theme="1"/>
        <rFont val="Times New Roman"/>
        <family val="1"/>
        <charset val="204"/>
      </rPr>
      <t>у2</t>
    </r>
    <r>
      <rPr>
        <sz val="14"/>
        <color theme="1"/>
        <rFont val="Times New Roman"/>
        <family val="1"/>
        <charset val="204"/>
      </rPr>
      <t xml:space="preserve"> = </t>
    </r>
  </si>
  <si>
    <t>След заместване в  [10], се получава</t>
  </si>
  <si>
    <t>α s</t>
  </si>
  <si>
    <t xml:space="preserve"> - ъгъл на директрисата на ударния импулс</t>
  </si>
  <si>
    <t>k</t>
  </si>
  <si>
    <t xml:space="preserve"> - коефициент на възстановяване</t>
  </si>
  <si>
    <t xml:space="preserve">a11 </t>
  </si>
  <si>
    <t xml:space="preserve">a12  </t>
  </si>
  <si>
    <t>a21</t>
  </si>
  <si>
    <t>a22</t>
  </si>
  <si>
    <t xml:space="preserve">b1 </t>
  </si>
  <si>
    <t xml:space="preserve"> N/сек</t>
  </si>
  <si>
    <t xml:space="preserve">b2 </t>
  </si>
  <si>
    <t xml:space="preserve"> м/сек</t>
  </si>
  <si>
    <t>Vу1</t>
  </si>
  <si>
    <t>Vу2</t>
  </si>
  <si>
    <t>Ty =</t>
  </si>
  <si>
    <t>t сп. сл.</t>
  </si>
  <si>
    <t xml:space="preserve">Tоз = </t>
  </si>
  <si>
    <t>Моментум 360</t>
  </si>
  <si>
    <t>Теория на удара</t>
  </si>
  <si>
    <r>
      <t>V</t>
    </r>
    <r>
      <rPr>
        <sz val="10"/>
        <color rgb="FFFF0000"/>
        <rFont val="Times New Roman"/>
        <family val="1"/>
        <charset val="204"/>
      </rPr>
      <t>y</t>
    </r>
    <r>
      <rPr>
        <sz val="8"/>
        <color rgb="FFFF0000"/>
        <rFont val="Times New Roman"/>
        <family val="1"/>
        <charset val="204"/>
      </rPr>
      <t>1</t>
    </r>
    <r>
      <rPr>
        <sz val="14"/>
        <color rgb="FFFF0000"/>
        <rFont val="Times New Roman"/>
        <family val="1"/>
        <charset val="204"/>
      </rPr>
      <t xml:space="preserve"> =</t>
    </r>
  </si>
  <si>
    <t>Определяне на опасната зона Моментум 360</t>
  </si>
  <si>
    <t>Определяне на опасната зона Теория на удара</t>
  </si>
  <si>
    <t>Стойност на коефициентите в алгебричната система от уравнения</t>
  </si>
  <si>
    <r>
      <t>α</t>
    </r>
    <r>
      <rPr>
        <sz val="8"/>
        <color theme="1"/>
        <rFont val="Times New Roman"/>
        <family val="1"/>
        <charset val="204"/>
      </rPr>
      <t xml:space="preserve">s </t>
    </r>
    <r>
      <rPr>
        <sz val="14"/>
        <color theme="1"/>
        <rFont val="Times New Roman"/>
        <family val="1"/>
        <charset val="204"/>
      </rPr>
      <t xml:space="preserve">° = </t>
    </r>
  </si>
  <si>
    <r>
      <rPr>
        <sz val="14"/>
        <color theme="1"/>
        <rFont val="Times New Roman"/>
        <family val="1"/>
        <charset val="204"/>
      </rPr>
      <t>k =</t>
    </r>
    <r>
      <rPr>
        <sz val="8"/>
        <color theme="1"/>
        <rFont val="Times New Roman"/>
        <family val="1"/>
        <charset val="204"/>
      </rPr>
      <t xml:space="preserve"> </t>
    </r>
  </si>
  <si>
    <r>
      <t>α</t>
    </r>
    <r>
      <rPr>
        <sz val="8"/>
        <color theme="1"/>
        <rFont val="Times New Roman"/>
        <family val="1"/>
        <charset val="204"/>
      </rPr>
      <t>s</t>
    </r>
    <r>
      <rPr>
        <sz val="14"/>
        <color theme="1"/>
        <rFont val="Times New Roman"/>
        <family val="1"/>
        <charset val="204"/>
      </rPr>
      <t xml:space="preserve"> - ъгъл на директриса на ударния импулс</t>
    </r>
  </si>
  <si>
    <t>k - коефициент на възстановяване</t>
  </si>
  <si>
    <t>След заместване в [7], [8]  и системата уравнения [9], се получава</t>
  </si>
  <si>
    <t>След заместване в   [10], за скоростта преди удара  се получава:</t>
  </si>
  <si>
    <t>[18]</t>
  </si>
  <si>
    <t>[19]</t>
  </si>
  <si>
    <r>
      <t>V</t>
    </r>
    <r>
      <rPr>
        <sz val="8"/>
        <color theme="1"/>
        <rFont val="Times New Roman"/>
        <family val="1"/>
        <charset val="204"/>
      </rPr>
      <t>у2</t>
    </r>
    <r>
      <rPr>
        <sz val="14"/>
        <color theme="1"/>
        <rFont val="Times New Roman"/>
        <family val="1"/>
        <charset val="204"/>
      </rPr>
      <t xml:space="preserve">  = </t>
    </r>
  </si>
  <si>
    <r>
      <t>V</t>
    </r>
    <r>
      <rPr>
        <sz val="8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 xml:space="preserve">  = </t>
    </r>
  </si>
  <si>
    <r>
      <t>V</t>
    </r>
    <r>
      <rPr>
        <sz val="8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 xml:space="preserve"> = </t>
    </r>
  </si>
  <si>
    <t>Вектор V1</t>
  </si>
  <si>
    <t>x</t>
  </si>
  <si>
    <t>y</t>
  </si>
  <si>
    <t>Вектор V2</t>
  </si>
  <si>
    <t xml:space="preserve">начало </t>
  </si>
  <si>
    <t>край</t>
  </si>
  <si>
    <t>Вектор u1</t>
  </si>
  <si>
    <t>Вектор u2</t>
  </si>
  <si>
    <t>Вектор ΔV2</t>
  </si>
  <si>
    <t>ΔV1 =</t>
  </si>
  <si>
    <t>ΔV2 =</t>
  </si>
  <si>
    <t>Изходни данни</t>
  </si>
  <si>
    <t>V1 =</t>
  </si>
  <si>
    <t>V2 =</t>
  </si>
  <si>
    <t>u1 =</t>
  </si>
  <si>
    <t>u2 =</t>
  </si>
  <si>
    <t>α1 =</t>
  </si>
  <si>
    <t>α2 =</t>
  </si>
  <si>
    <t>β1 =</t>
  </si>
  <si>
    <t>β2 =</t>
  </si>
  <si>
    <t xml:space="preserve">Начало </t>
  </si>
  <si>
    <t>Край</t>
  </si>
  <si>
    <t>План на скоростите "Моментум 360"</t>
  </si>
  <si>
    <t>План на скоростите теория на удара</t>
  </si>
  <si>
    <t>Проекции на векторите на скоростите върху координатните оси</t>
  </si>
  <si>
    <t>Координати на векторите на скоростта върху  осите "Х" и "Y"</t>
  </si>
  <si>
    <t>Вектор ΔV1</t>
  </si>
  <si>
    <t xml:space="preserve">S   1 = </t>
  </si>
  <si>
    <t xml:space="preserve">S   2 = </t>
  </si>
  <si>
    <t>σ 1 =</t>
  </si>
  <si>
    <t>σ 2 =</t>
  </si>
  <si>
    <t>t Σ</t>
  </si>
  <si>
    <t>Oу 1   със σ1</t>
  </si>
  <si>
    <t>Oу 2   със σ2</t>
  </si>
  <si>
    <t>к</t>
  </si>
  <si>
    <t xml:space="preserve">V1у Теория </t>
  </si>
  <si>
    <t>Vу2 Теория</t>
  </si>
  <si>
    <t>V у2 Моментум</t>
  </si>
  <si>
    <t>V1у Моментум</t>
  </si>
  <si>
    <r>
      <t>x=-V1.cos</t>
    </r>
    <r>
      <rPr>
        <sz val="14"/>
        <color theme="1"/>
        <rFont val="Calibri"/>
        <family val="2"/>
        <charset val="204"/>
      </rPr>
      <t>α</t>
    </r>
    <r>
      <rPr>
        <sz val="14"/>
        <color theme="1"/>
        <rFont val="Times New Roman"/>
        <family val="1"/>
        <charset val="204"/>
      </rPr>
      <t>1</t>
    </r>
  </si>
  <si>
    <t>x=-v1.cosα1+u1.cosβ1</t>
  </si>
  <si>
    <t>x=-v1.sinα1+u1.sinβ1</t>
  </si>
  <si>
    <r>
      <t>y=-V1.sin</t>
    </r>
    <r>
      <rPr>
        <sz val="14"/>
        <color theme="1"/>
        <rFont val="Calibri"/>
        <family val="2"/>
        <charset val="204"/>
      </rPr>
      <t>α1</t>
    </r>
  </si>
  <si>
    <r>
      <t>x=-V2.cos</t>
    </r>
    <r>
      <rPr>
        <sz val="14"/>
        <color theme="1"/>
        <rFont val="Calibri"/>
        <family val="2"/>
        <charset val="204"/>
      </rPr>
      <t>α2</t>
    </r>
  </si>
  <si>
    <r>
      <t>y=-V2.sin</t>
    </r>
    <r>
      <rPr>
        <sz val="14"/>
        <color theme="1"/>
        <rFont val="Calibri"/>
        <family val="2"/>
        <charset val="204"/>
      </rPr>
      <t>α</t>
    </r>
    <r>
      <rPr>
        <sz val="14"/>
        <color theme="1"/>
        <rFont val="Times New Roman"/>
        <family val="1"/>
        <charset val="204"/>
      </rPr>
      <t>2</t>
    </r>
  </si>
  <si>
    <t>x=-v2.cosα2+u2.cosβ2</t>
  </si>
  <si>
    <t>x=-v2.sinα2+u2.sinβ2</t>
  </si>
  <si>
    <t>Построяване план на скоростите</t>
  </si>
  <si>
    <t>Изходни данни за построяване плана на скоростите</t>
  </si>
  <si>
    <t>За лек автомобил 1</t>
  </si>
  <si>
    <t>За лек автомобил 2</t>
  </si>
  <si>
    <t>Скорости на превозните средства в момента на удара, както следва</t>
  </si>
  <si>
    <t>к=</t>
  </si>
  <si>
    <r>
      <t>u</t>
    </r>
    <r>
      <rPr>
        <sz val="8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- скорост на масовия център на превозното средство след удара</t>
    </r>
  </si>
  <si>
    <r>
      <t>σ</t>
    </r>
    <r>
      <rPr>
        <sz val="8"/>
        <rFont val="Times New Roman"/>
        <family val="1"/>
        <charset val="204"/>
      </rPr>
      <t>i1</t>
    </r>
    <r>
      <rPr>
        <sz val="14"/>
        <rFont val="Times New Roman"/>
        <family val="1"/>
        <charset val="204"/>
      </rPr>
      <t xml:space="preserve"> - път изминат от масовия център на превозното средство след удара</t>
    </r>
  </si>
  <si>
    <r>
      <t>u</t>
    </r>
    <r>
      <rPr>
        <sz val="8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 xml:space="preserve"> - скорост на масовия център на превозното средство след удара</t>
    </r>
  </si>
  <si>
    <r>
      <t>σ</t>
    </r>
    <r>
      <rPr>
        <sz val="8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- път изминат от масовия център на превозното средство след удара</t>
    </r>
  </si>
  <si>
    <r>
      <t>V</t>
    </r>
    <r>
      <rPr>
        <sz val="8"/>
        <color theme="1"/>
        <rFont val="Times New Roman"/>
        <family val="1"/>
        <charset val="204"/>
      </rPr>
      <t>y1</t>
    </r>
    <r>
      <rPr>
        <sz val="14"/>
        <color theme="1"/>
        <rFont val="Times New Roman"/>
        <family val="1"/>
        <charset val="204"/>
      </rPr>
      <t xml:space="preserve"> - скорост на превозното средство в момента на удара</t>
    </r>
  </si>
  <si>
    <r>
      <t>V</t>
    </r>
    <r>
      <rPr>
        <sz val="8"/>
        <color theme="1"/>
        <rFont val="Times New Roman"/>
        <family val="1"/>
        <charset val="204"/>
      </rPr>
      <t>y2</t>
    </r>
    <r>
      <rPr>
        <sz val="14"/>
        <color theme="1"/>
        <rFont val="Times New Roman"/>
        <family val="1"/>
        <charset val="204"/>
      </rPr>
      <t xml:space="preserve"> - скорост на превозното средство в момента на удара</t>
    </r>
  </si>
  <si>
    <t>ефективен спирачен път на превозното средство</t>
  </si>
  <si>
    <r>
      <t>V</t>
    </r>
    <r>
      <rPr>
        <sz val="8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>– скорост на превозното средство преди настъпване на произшествието</t>
    </r>
  </si>
  <si>
    <r>
      <t>V</t>
    </r>
    <r>
      <rPr>
        <sz val="8"/>
        <color theme="1"/>
        <rFont val="Times New Roman"/>
        <family val="1"/>
        <charset val="204"/>
      </rPr>
      <t xml:space="preserve">у2 </t>
    </r>
    <r>
      <rPr>
        <sz val="14"/>
        <color theme="1"/>
        <rFont val="Times New Roman"/>
        <family val="1"/>
        <charset val="204"/>
      </rPr>
      <t>– скорост на превозното средство в момента на удара</t>
    </r>
  </si>
  <si>
    <r>
      <t>V</t>
    </r>
    <r>
      <rPr>
        <sz val="8"/>
        <color theme="1"/>
        <rFont val="Times New Roman"/>
        <family val="1"/>
        <charset val="204"/>
      </rPr>
      <t xml:space="preserve">1 </t>
    </r>
    <r>
      <rPr>
        <sz val="14"/>
        <color theme="1"/>
        <rFont val="Times New Roman"/>
        <family val="1"/>
        <charset val="204"/>
      </rPr>
      <t>– скорост на превозното средство преди настъпване на произшествието</t>
    </r>
  </si>
  <si>
    <r>
      <t>σ</t>
    </r>
    <r>
      <rPr>
        <sz val="8"/>
        <color theme="1"/>
        <rFont val="Times New Roman"/>
        <family val="1"/>
        <charset val="204"/>
      </rPr>
      <t xml:space="preserve">1 </t>
    </r>
    <r>
      <rPr>
        <sz val="14"/>
        <color theme="1"/>
        <rFont val="Times New Roman"/>
        <family val="1"/>
        <charset val="204"/>
      </rPr>
      <t>– ефективен спирачен път на превозното средство</t>
    </r>
  </si>
  <si>
    <r>
      <t>σ</t>
    </r>
    <r>
      <rPr>
        <sz val="8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>– ефективен спирачен път на превозното средство</t>
    </r>
  </si>
  <si>
    <t>надлъжна база на превозното средство</t>
  </si>
  <si>
    <r>
      <t>V</t>
    </r>
    <r>
      <rPr>
        <sz val="8"/>
        <color theme="1"/>
        <rFont val="Times New Roman"/>
        <family val="1"/>
        <charset val="204"/>
      </rPr>
      <t xml:space="preserve">у1 </t>
    </r>
    <r>
      <rPr>
        <sz val="14"/>
        <color theme="1"/>
        <rFont val="Times New Roman"/>
        <family val="1"/>
        <charset val="204"/>
      </rPr>
      <t>– скорост на превозното средство в момента на удара</t>
    </r>
  </si>
  <si>
    <r>
      <t>m</t>
    </r>
    <r>
      <rPr>
        <sz val="8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- маса на превозното средство</t>
    </r>
  </si>
  <si>
    <r>
      <t>m</t>
    </r>
    <r>
      <rPr>
        <sz val="8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 xml:space="preserve"> - маса на превозното средство</t>
    </r>
  </si>
  <si>
    <r>
      <t>S</t>
    </r>
    <r>
      <rPr>
        <sz val="8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- ефективен спирачен път на превозното средство преди удара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</si>
</sst>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General\ &quot;м/сек&quot;"/>
    <numFmt numFmtId="166" formatCode="General\ &quot;градуса&quot;"/>
    <numFmt numFmtId="167" formatCode="0.0&quot; км/ч&quot;"/>
    <numFmt numFmtId="168" formatCode="0.0&quot; м/сек&quot;"/>
  </numFmts>
  <fonts count="3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theme="1"/>
      <name val="Calibri"/>
      <family val="2"/>
      <charset val="204"/>
    </font>
    <font>
      <sz val="12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9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8"/>
      <name val="Times New Roman"/>
      <family val="1"/>
      <charset val="204"/>
    </font>
    <font>
      <sz val="14"/>
      <color theme="1"/>
      <name val="Calibri"/>
      <family val="2"/>
      <charset val="204"/>
    </font>
    <font>
      <sz val="8"/>
      <color rgb="FF000000"/>
      <name val="Times New Roman"/>
      <family val="1"/>
      <charset val="204"/>
    </font>
    <font>
      <sz val="8"/>
      <color theme="1"/>
      <name val="Calibri"/>
      <family val="2"/>
      <charset val="204"/>
    </font>
    <font>
      <b/>
      <i/>
      <u/>
      <sz val="14"/>
      <color rgb="FFFF0000"/>
      <name val="Times New Roman"/>
      <family val="1"/>
      <charset val="204"/>
    </font>
    <font>
      <b/>
      <i/>
      <u/>
      <sz val="14"/>
      <color theme="1"/>
      <name val="Times New Roman"/>
      <family val="1"/>
      <charset val="204"/>
    </font>
    <font>
      <b/>
      <i/>
      <u/>
      <sz val="14"/>
      <color rgb="FF00B0F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i/>
      <u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indexed="81"/>
      <name val="Tahoma"/>
      <family val="2"/>
      <charset val="204"/>
    </font>
    <font>
      <b/>
      <sz val="14"/>
      <color rgb="FFFF0000"/>
      <name val="Times New Roman"/>
      <family val="1"/>
      <charset val="204"/>
    </font>
    <font>
      <b/>
      <i/>
      <sz val="14"/>
      <color rgb="FFFF0000"/>
      <name val="Times New Roman"/>
      <family val="1"/>
      <charset val="204"/>
    </font>
    <font>
      <b/>
      <i/>
      <u/>
      <sz val="14"/>
      <color rgb="FF0070C0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14"/>
      <color indexed="81"/>
      <name val="Tahom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/>
    <xf numFmtId="0" fontId="1" fillId="5" borderId="2" xfId="0" applyFont="1" applyFill="1" applyBorder="1"/>
    <xf numFmtId="2" fontId="1" fillId="0" borderId="2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13" fillId="0" borderId="0" xfId="0" applyFont="1" applyFill="1"/>
    <xf numFmtId="2" fontId="6" fillId="0" borderId="0" xfId="0" applyNumberFormat="1" applyFont="1" applyFill="1" applyBorder="1" applyAlignment="1">
      <alignment horizontal="center"/>
    </xf>
    <xf numFmtId="0" fontId="15" fillId="0" borderId="0" xfId="0" applyFont="1" applyFill="1" applyBorder="1"/>
    <xf numFmtId="2" fontId="6" fillId="0" borderId="2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2" fontId="6" fillId="0" borderId="0" xfId="0" applyNumberFormat="1" applyFont="1" applyFill="1" applyBorder="1"/>
    <xf numFmtId="0" fontId="6" fillId="0" borderId="2" xfId="0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left"/>
    </xf>
    <xf numFmtId="0" fontId="6" fillId="0" borderId="0" xfId="0" applyFont="1" applyFill="1" applyAlignment="1">
      <alignment horizontal="justify"/>
    </xf>
    <xf numFmtId="0" fontId="6" fillId="0" borderId="0" xfId="0" applyFont="1" applyFill="1"/>
    <xf numFmtId="2" fontId="15" fillId="0" borderId="2" xfId="0" applyNumberFormat="1" applyFont="1" applyFill="1" applyBorder="1" applyAlignment="1">
      <alignment horizontal="left"/>
    </xf>
    <xf numFmtId="2" fontId="11" fillId="0" borderId="2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right"/>
    </xf>
    <xf numFmtId="2" fontId="6" fillId="0" borderId="2" xfId="0" applyNumberFormat="1" applyFont="1" applyFill="1" applyBorder="1"/>
    <xf numFmtId="0" fontId="13" fillId="0" borderId="0" xfId="0" applyFont="1" applyFill="1" applyBorder="1"/>
    <xf numFmtId="0" fontId="6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right"/>
    </xf>
    <xf numFmtId="0" fontId="6" fillId="5" borderId="3" xfId="0" applyFont="1" applyFill="1" applyBorder="1" applyAlignment="1">
      <alignment horizontal="right"/>
    </xf>
    <xf numFmtId="0" fontId="6" fillId="5" borderId="2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15" fillId="5" borderId="2" xfId="0" applyFont="1" applyFill="1" applyBorder="1" applyAlignment="1">
      <alignment horizontal="right"/>
    </xf>
    <xf numFmtId="2" fontId="15" fillId="0" borderId="2" xfId="0" applyNumberFormat="1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6" fillId="5" borderId="3" xfId="0" applyFont="1" applyFill="1" applyBorder="1"/>
    <xf numFmtId="0" fontId="6" fillId="5" borderId="2" xfId="0" applyFont="1" applyFill="1" applyBorder="1"/>
    <xf numFmtId="0" fontId="20" fillId="0" borderId="0" xfId="0" applyFont="1" applyFill="1" applyBorder="1"/>
    <xf numFmtId="0" fontId="21" fillId="0" borderId="0" xfId="0" applyFont="1" applyFill="1" applyBorder="1"/>
    <xf numFmtId="0" fontId="20" fillId="0" borderId="0" xfId="0" applyFont="1" applyFill="1" applyBorder="1" applyAlignment="1">
      <alignment horizontal="left"/>
    </xf>
    <xf numFmtId="0" fontId="22" fillId="0" borderId="0" xfId="0" applyFont="1" applyFill="1" applyBorder="1"/>
    <xf numFmtId="2" fontId="21" fillId="0" borderId="0" xfId="0" applyNumberFormat="1" applyFont="1" applyFill="1" applyBorder="1"/>
    <xf numFmtId="0" fontId="11" fillId="0" borderId="0" xfId="0" applyFont="1" applyFill="1" applyBorder="1" applyAlignment="1">
      <alignment horizontal="left"/>
    </xf>
    <xf numFmtId="164" fontId="6" fillId="0" borderId="2" xfId="0" applyNumberFormat="1" applyFont="1" applyFill="1" applyBorder="1" applyAlignment="1">
      <alignment horizontal="center"/>
    </xf>
    <xf numFmtId="0" fontId="24" fillId="0" borderId="0" xfId="0" applyFont="1"/>
    <xf numFmtId="2" fontId="20" fillId="0" borderId="0" xfId="0" applyNumberFormat="1" applyFont="1" applyFill="1" applyBorder="1" applyAlignment="1">
      <alignment horizontal="left"/>
    </xf>
    <xf numFmtId="0" fontId="21" fillId="0" borderId="0" xfId="0" applyFont="1" applyFill="1" applyBorder="1" applyAlignment="1">
      <alignment horizontal="left"/>
    </xf>
    <xf numFmtId="0" fontId="1" fillId="6" borderId="2" xfId="0" applyFont="1" applyFill="1" applyBorder="1" applyAlignment="1" applyProtection="1">
      <alignment horizontal="center"/>
    </xf>
    <xf numFmtId="0" fontId="1" fillId="0" borderId="0" xfId="0" applyFont="1" applyProtection="1"/>
    <xf numFmtId="0" fontId="1" fillId="0" borderId="0" xfId="0" applyFont="1" applyBorder="1" applyProtection="1"/>
    <xf numFmtId="0" fontId="2" fillId="0" borderId="1" xfId="0" applyFont="1" applyBorder="1" applyProtection="1"/>
    <xf numFmtId="0" fontId="2" fillId="0" borderId="0" xfId="0" applyFont="1" applyFill="1" applyBorder="1" applyProtection="1"/>
    <xf numFmtId="0" fontId="2" fillId="0" borderId="0" xfId="0" applyFont="1" applyBorder="1" applyProtection="1"/>
    <xf numFmtId="0" fontId="1" fillId="2" borderId="2" xfId="0" applyFont="1" applyFill="1" applyBorder="1" applyProtection="1"/>
    <xf numFmtId="0" fontId="1" fillId="0" borderId="2" xfId="0" applyFont="1" applyBorder="1" applyAlignment="1" applyProtection="1">
      <alignment horizontal="center"/>
    </xf>
    <xf numFmtId="0" fontId="1" fillId="3" borderId="2" xfId="0" applyFont="1" applyFill="1" applyBorder="1" applyAlignment="1" applyProtection="1">
      <alignment horizontal="center"/>
    </xf>
    <xf numFmtId="0" fontId="1" fillId="4" borderId="2" xfId="0" applyFont="1" applyFill="1" applyBorder="1" applyAlignment="1" applyProtection="1">
      <alignment horizontal="center"/>
    </xf>
    <xf numFmtId="2" fontId="1" fillId="3" borderId="2" xfId="0" applyNumberFormat="1" applyFont="1" applyFill="1" applyBorder="1" applyAlignment="1" applyProtection="1">
      <alignment horizontal="center"/>
    </xf>
    <xf numFmtId="0" fontId="2" fillId="0" borderId="0" xfId="0" applyFont="1" applyProtection="1"/>
    <xf numFmtId="2" fontId="1" fillId="6" borderId="2" xfId="0" applyNumberFormat="1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center"/>
    </xf>
    <xf numFmtId="0" fontId="1" fillId="0" borderId="0" xfId="0" applyFont="1" applyFill="1" applyProtection="1"/>
    <xf numFmtId="0" fontId="1" fillId="0" borderId="0" xfId="0" applyNumberFormat="1" applyFont="1" applyAlignment="1" applyProtection="1">
      <alignment horizontal="left"/>
    </xf>
    <xf numFmtId="0" fontId="1" fillId="0" borderId="0" xfId="0" applyFont="1" applyAlignment="1" applyProtection="1">
      <alignment horizontal="left"/>
    </xf>
    <xf numFmtId="2" fontId="1" fillId="0" borderId="2" xfId="0" applyNumberFormat="1" applyFont="1" applyFill="1" applyBorder="1" applyAlignment="1" applyProtection="1">
      <alignment horizontal="center"/>
    </xf>
    <xf numFmtId="0" fontId="1" fillId="0" borderId="0" xfId="0" applyFont="1" applyFill="1" applyBorder="1" applyProtection="1"/>
    <xf numFmtId="0" fontId="1" fillId="0" borderId="0" xfId="0" applyFont="1" applyBorder="1" applyAlignment="1" applyProtection="1">
      <alignment horizontal="left"/>
    </xf>
    <xf numFmtId="2" fontId="1" fillId="0" borderId="0" xfId="0" applyNumberFormat="1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right"/>
    </xf>
    <xf numFmtId="0" fontId="1" fillId="0" borderId="2" xfId="0" applyFont="1" applyBorder="1" applyProtection="1"/>
    <xf numFmtId="0" fontId="1" fillId="0" borderId="0" xfId="0" applyFont="1" applyBorder="1" applyAlignment="1" applyProtection="1">
      <alignment horizontal="center"/>
    </xf>
    <xf numFmtId="0" fontId="1" fillId="8" borderId="2" xfId="0" applyFont="1" applyFill="1" applyBorder="1" applyProtection="1"/>
    <xf numFmtId="0" fontId="27" fillId="0" borderId="0" xfId="0" applyFont="1" applyProtection="1"/>
    <xf numFmtId="0" fontId="27" fillId="0" borderId="0" xfId="0" applyFont="1" applyAlignment="1" applyProtection="1">
      <alignment horizontal="center"/>
    </xf>
    <xf numFmtId="2" fontId="1" fillId="6" borderId="2" xfId="0" applyNumberFormat="1" applyFont="1" applyFill="1" applyBorder="1" applyProtection="1"/>
    <xf numFmtId="0" fontId="1" fillId="0" borderId="2" xfId="0" applyFont="1" applyFill="1" applyBorder="1" applyProtection="1"/>
    <xf numFmtId="164" fontId="1" fillId="6" borderId="2" xfId="0" applyNumberFormat="1" applyFont="1" applyFill="1" applyBorder="1" applyProtection="1"/>
    <xf numFmtId="0" fontId="6" fillId="0" borderId="0" xfId="0" applyFont="1" applyProtection="1"/>
    <xf numFmtId="0" fontId="6" fillId="0" borderId="0" xfId="0" applyFont="1" applyAlignment="1" applyProtection="1">
      <alignment horizontal="center"/>
    </xf>
    <xf numFmtId="0" fontId="6" fillId="0" borderId="0" xfId="0" applyFont="1" applyFill="1" applyBorder="1" applyProtection="1"/>
    <xf numFmtId="0" fontId="1" fillId="0" borderId="0" xfId="0" applyFont="1" applyAlignment="1" applyProtection="1">
      <alignment horizontal="center"/>
    </xf>
    <xf numFmtId="0" fontId="25" fillId="0" borderId="0" xfId="0" applyFont="1" applyFill="1" applyBorder="1" applyProtection="1"/>
    <xf numFmtId="0" fontId="25" fillId="0" borderId="0" xfId="0" applyFont="1" applyProtection="1"/>
    <xf numFmtId="0" fontId="6" fillId="5" borderId="2" xfId="0" applyFont="1" applyFill="1" applyBorder="1" applyProtection="1"/>
    <xf numFmtId="0" fontId="6" fillId="2" borderId="2" xfId="0" applyFont="1" applyFill="1" applyBorder="1" applyProtection="1"/>
    <xf numFmtId="0" fontId="6" fillId="0" borderId="2" xfId="0" applyFont="1" applyFill="1" applyBorder="1" applyProtection="1"/>
    <xf numFmtId="2" fontId="6" fillId="0" borderId="2" xfId="0" applyNumberFormat="1" applyFont="1" applyFill="1" applyBorder="1" applyProtection="1"/>
    <xf numFmtId="0" fontId="6" fillId="0" borderId="0" xfId="0" applyFont="1" applyFill="1" applyProtection="1"/>
    <xf numFmtId="165" fontId="6" fillId="2" borderId="2" xfId="0" applyNumberFormat="1" applyFont="1" applyFill="1" applyBorder="1" applyProtection="1"/>
    <xf numFmtId="0" fontId="6" fillId="0" borderId="2" xfId="0" applyFont="1" applyBorder="1" applyProtection="1"/>
    <xf numFmtId="165" fontId="6" fillId="0" borderId="2" xfId="0" applyNumberFormat="1" applyFont="1" applyBorder="1" applyProtection="1"/>
    <xf numFmtId="2" fontId="6" fillId="0" borderId="0" xfId="0" applyNumberFormat="1" applyFont="1" applyProtection="1"/>
    <xf numFmtId="2" fontId="6" fillId="2" borderId="2" xfId="0" applyNumberFormat="1" applyFont="1" applyFill="1" applyBorder="1" applyProtection="1"/>
    <xf numFmtId="0" fontId="4" fillId="2" borderId="2" xfId="0" applyFont="1" applyFill="1" applyBorder="1" applyAlignment="1" applyProtection="1">
      <alignment horizontal="center"/>
    </xf>
    <xf numFmtId="0" fontId="4" fillId="4" borderId="2" xfId="0" applyFont="1" applyFill="1" applyBorder="1" applyAlignment="1" applyProtection="1">
      <alignment horizontal="center"/>
    </xf>
    <xf numFmtId="2" fontId="4" fillId="3" borderId="2" xfId="0" applyNumberFormat="1" applyFont="1" applyFill="1" applyBorder="1" applyAlignment="1" applyProtection="1">
      <alignment horizontal="center"/>
    </xf>
    <xf numFmtId="0" fontId="1" fillId="6" borderId="2" xfId="0" applyFont="1" applyFill="1" applyBorder="1" applyProtection="1"/>
    <xf numFmtId="2" fontId="1" fillId="0" borderId="2" xfId="0" applyNumberFormat="1" applyFont="1" applyBorder="1" applyProtection="1"/>
    <xf numFmtId="0" fontId="1" fillId="7" borderId="0" xfId="0" applyFont="1" applyFill="1" applyBorder="1" applyProtection="1"/>
    <xf numFmtId="2" fontId="1" fillId="0" borderId="0" xfId="0" applyNumberFormat="1" applyFont="1" applyFill="1" applyBorder="1" applyProtection="1"/>
    <xf numFmtId="0" fontId="1" fillId="5" borderId="2" xfId="0" applyFont="1" applyFill="1" applyBorder="1" applyProtection="1"/>
    <xf numFmtId="2" fontId="1" fillId="0" borderId="2" xfId="0" applyNumberFormat="1" applyFont="1" applyBorder="1" applyAlignment="1" applyProtection="1">
      <alignment horizontal="center"/>
    </xf>
    <xf numFmtId="0" fontId="1" fillId="8" borderId="0" xfId="0" applyFont="1" applyFill="1" applyProtection="1"/>
    <xf numFmtId="0" fontId="1" fillId="8" borderId="0" xfId="0" applyFont="1" applyFill="1" applyBorder="1" applyProtection="1"/>
    <xf numFmtId="2" fontId="1" fillId="8" borderId="2" xfId="0" applyNumberFormat="1" applyFont="1" applyFill="1" applyBorder="1" applyProtection="1"/>
    <xf numFmtId="0" fontId="4" fillId="0" borderId="0" xfId="0" applyFont="1" applyFill="1" applyBorder="1" applyProtection="1"/>
    <xf numFmtId="0" fontId="7" fillId="0" borderId="0" xfId="0" applyFont="1" applyProtection="1"/>
    <xf numFmtId="164" fontId="1" fillId="6" borderId="2" xfId="0" applyNumberFormat="1" applyFont="1" applyFill="1" applyBorder="1" applyAlignment="1" applyProtection="1">
      <alignment horizontal="center"/>
    </xf>
    <xf numFmtId="2" fontId="6" fillId="0" borderId="0" xfId="0" applyNumberFormat="1" applyFont="1" applyFill="1" applyBorder="1" applyAlignment="1" applyProtection="1">
      <alignment horizontal="center"/>
    </xf>
    <xf numFmtId="0" fontId="6" fillId="4" borderId="2" xfId="0" applyFont="1" applyFill="1" applyBorder="1" applyProtection="1"/>
    <xf numFmtId="165" fontId="6" fillId="0" borderId="0" xfId="0" applyNumberFormat="1" applyFont="1" applyFill="1" applyBorder="1" applyAlignment="1" applyProtection="1">
      <alignment horizontal="center"/>
    </xf>
    <xf numFmtId="0" fontId="6" fillId="2" borderId="2" xfId="0" applyFont="1" applyFill="1" applyBorder="1" applyAlignment="1" applyProtection="1">
      <alignment horizontal="center"/>
    </xf>
    <xf numFmtId="2" fontId="6" fillId="2" borderId="2" xfId="0" applyNumberFormat="1" applyFont="1" applyFill="1" applyBorder="1" applyAlignment="1" applyProtection="1">
      <alignment horizontal="center"/>
    </xf>
    <xf numFmtId="0" fontId="28" fillId="0" borderId="0" xfId="0" applyFont="1" applyFill="1" applyBorder="1"/>
    <xf numFmtId="0" fontId="29" fillId="0" borderId="0" xfId="0" applyFont="1" applyFill="1" applyBorder="1"/>
    <xf numFmtId="0" fontId="29" fillId="0" borderId="0" xfId="0" applyFont="1" applyFill="1" applyBorder="1" applyAlignment="1">
      <alignment horizontal="left"/>
    </xf>
    <xf numFmtId="0" fontId="30" fillId="0" borderId="0" xfId="0" applyFont="1" applyProtection="1"/>
    <xf numFmtId="0" fontId="28" fillId="0" borderId="0" xfId="0" applyFont="1" applyProtection="1"/>
    <xf numFmtId="0" fontId="28" fillId="0" borderId="0" xfId="0" applyFont="1" applyFill="1" applyBorder="1" applyProtection="1"/>
    <xf numFmtId="0" fontId="6" fillId="2" borderId="2" xfId="0" applyNumberFormat="1" applyFont="1" applyFill="1" applyBorder="1" applyProtection="1"/>
    <xf numFmtId="0" fontId="6" fillId="0" borderId="2" xfId="0" applyNumberFormat="1" applyFont="1" applyBorder="1" applyProtection="1"/>
    <xf numFmtId="0" fontId="6" fillId="4" borderId="2" xfId="0" applyNumberFormat="1" applyFont="1" applyFill="1" applyBorder="1" applyProtection="1"/>
    <xf numFmtId="164" fontId="1" fillId="3" borderId="2" xfId="0" applyNumberFormat="1" applyFont="1" applyFill="1" applyBorder="1" applyAlignment="1" applyProtection="1">
      <alignment horizontal="center"/>
    </xf>
    <xf numFmtId="167" fontId="6" fillId="2" borderId="2" xfId="0" applyNumberFormat="1" applyFont="1" applyFill="1" applyBorder="1" applyProtection="1"/>
    <xf numFmtId="167" fontId="6" fillId="4" borderId="2" xfId="0" applyNumberFormat="1" applyFont="1" applyFill="1" applyBorder="1" applyProtection="1"/>
    <xf numFmtId="164" fontId="6" fillId="0" borderId="2" xfId="0" applyNumberFormat="1" applyFont="1" applyFill="1" applyBorder="1" applyProtection="1"/>
    <xf numFmtId="168" fontId="6" fillId="2" borderId="2" xfId="0" applyNumberFormat="1" applyFont="1" applyFill="1" applyBorder="1" applyProtection="1"/>
    <xf numFmtId="167" fontId="6" fillId="0" borderId="2" xfId="0" applyNumberFormat="1" applyFont="1" applyBorder="1" applyProtection="1"/>
    <xf numFmtId="164" fontId="6" fillId="0" borderId="2" xfId="0" applyNumberFormat="1" applyFont="1" applyFill="1" applyBorder="1"/>
    <xf numFmtId="164" fontId="6" fillId="0" borderId="2" xfId="0" applyNumberFormat="1" applyFont="1" applyFill="1" applyBorder="1" applyAlignment="1" applyProtection="1">
      <alignment horizontal="center"/>
    </xf>
    <xf numFmtId="2" fontId="6" fillId="0" borderId="0" xfId="0" applyNumberFormat="1" applyFont="1" applyAlignment="1" applyProtection="1">
      <alignment horizontal="center"/>
    </xf>
    <xf numFmtId="164" fontId="6" fillId="0" borderId="0" xfId="0" applyNumberFormat="1" applyFont="1" applyProtection="1"/>
    <xf numFmtId="164" fontId="6" fillId="0" borderId="0" xfId="0" applyNumberFormat="1" applyFont="1" applyFill="1" applyBorder="1"/>
    <xf numFmtId="164" fontId="11" fillId="0" borderId="2" xfId="0" applyNumberFormat="1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horizontal="left"/>
    </xf>
    <xf numFmtId="164" fontId="21" fillId="0" borderId="0" xfId="0" applyNumberFormat="1" applyFont="1" applyFill="1" applyBorder="1"/>
    <xf numFmtId="164" fontId="6" fillId="0" borderId="0" xfId="0" applyNumberFormat="1" applyFont="1" applyFill="1" applyBorder="1" applyAlignment="1">
      <alignment horizontal="center"/>
    </xf>
    <xf numFmtId="168" fontId="6" fillId="0" borderId="2" xfId="0" applyNumberFormat="1" applyFont="1" applyBorder="1" applyProtection="1"/>
    <xf numFmtId="0" fontId="1" fillId="9" borderId="0" xfId="0" applyFont="1" applyFill="1" applyProtection="1"/>
    <xf numFmtId="0" fontId="1" fillId="9" borderId="0" xfId="0" applyFont="1" applyFill="1" applyBorder="1" applyProtection="1"/>
    <xf numFmtId="168" fontId="6" fillId="4" borderId="2" xfId="0" applyNumberFormat="1" applyFont="1" applyFill="1" applyBorder="1" applyProtection="1"/>
    <xf numFmtId="0" fontId="2" fillId="0" borderId="2" xfId="0" applyFont="1" applyBorder="1" applyAlignment="1" applyProtection="1">
      <alignment horizontal="center"/>
    </xf>
    <xf numFmtId="0" fontId="29" fillId="0" borderId="0" xfId="0" applyFont="1" applyFill="1" applyBorder="1" applyProtection="1"/>
    <xf numFmtId="0" fontId="2" fillId="0" borderId="0" xfId="0" applyFont="1" applyBorder="1" applyAlignment="1" applyProtection="1">
      <alignment horizontal="center"/>
    </xf>
    <xf numFmtId="0" fontId="11" fillId="5" borderId="2" xfId="0" applyFont="1" applyFill="1" applyBorder="1" applyProtection="1"/>
    <xf numFmtId="165" fontId="6" fillId="0" borderId="2" xfId="0" applyNumberFormat="1" applyFont="1" applyFill="1" applyBorder="1" applyAlignment="1" applyProtection="1">
      <alignment horizontal="center"/>
    </xf>
    <xf numFmtId="166" fontId="6" fillId="0" borderId="2" xfId="0" applyNumberFormat="1" applyFont="1" applyFill="1" applyBorder="1" applyAlignment="1" applyProtection="1">
      <alignment horizontal="center"/>
    </xf>
    <xf numFmtId="0" fontId="6" fillId="2" borderId="2" xfId="0" applyFont="1" applyFill="1" applyBorder="1" applyAlignment="1" applyProtection="1">
      <alignment horizontal="center"/>
    </xf>
    <xf numFmtId="164" fontId="6" fillId="0" borderId="2" xfId="0" applyNumberFormat="1" applyFont="1" applyFill="1" applyBorder="1" applyAlignment="1" applyProtection="1">
      <alignment horizontal="center"/>
    </xf>
    <xf numFmtId="2" fontId="6" fillId="2" borderId="2" xfId="0" applyNumberFormat="1" applyFont="1" applyFill="1" applyBorder="1" applyAlignment="1" applyProtection="1">
      <alignment horizontal="center"/>
    </xf>
    <xf numFmtId="165" fontId="6" fillId="4" borderId="2" xfId="0" applyNumberFormat="1" applyFont="1" applyFill="1" applyBorder="1" applyAlignment="1" applyProtection="1">
      <alignment horizontal="center"/>
    </xf>
    <xf numFmtId="166" fontId="6" fillId="4" borderId="2" xfId="0" applyNumberFormat="1" applyFont="1" applyFill="1" applyBorder="1" applyAlignment="1" applyProtection="1">
      <alignment horizontal="center"/>
    </xf>
    <xf numFmtId="0" fontId="6" fillId="0" borderId="3" xfId="0" applyFont="1" applyFill="1" applyBorder="1" applyAlignment="1" applyProtection="1">
      <alignment horizontal="center"/>
    </xf>
    <xf numFmtId="0" fontId="6" fillId="0" borderId="4" xfId="0" applyFont="1" applyFill="1" applyBorder="1" applyAlignment="1" applyProtection="1">
      <alignment horizontal="center"/>
    </xf>
    <xf numFmtId="0" fontId="6" fillId="0" borderId="5" xfId="0" applyFont="1" applyFill="1" applyBorder="1" applyAlignment="1" applyProtection="1">
      <alignment horizontal="center"/>
    </xf>
    <xf numFmtId="164" fontId="6" fillId="2" borderId="2" xfId="0" applyNumberFormat="1" applyFont="1" applyFill="1" applyBorder="1" applyAlignment="1" applyProtection="1">
      <alignment horizontal="center"/>
    </xf>
    <xf numFmtId="0" fontId="6" fillId="2" borderId="3" xfId="0" applyFont="1" applyFill="1" applyBorder="1" applyAlignment="1" applyProtection="1">
      <alignment horizontal="center"/>
    </xf>
    <xf numFmtId="0" fontId="6" fillId="2" borderId="4" xfId="0" applyFont="1" applyFill="1" applyBorder="1" applyAlignment="1" applyProtection="1">
      <alignment horizontal="center"/>
    </xf>
    <xf numFmtId="0" fontId="6" fillId="2" borderId="5" xfId="0" applyFont="1" applyFill="1" applyBorder="1" applyAlignment="1" applyProtection="1">
      <alignment horizontal="center"/>
    </xf>
    <xf numFmtId="165" fontId="6" fillId="0" borderId="3" xfId="0" applyNumberFormat="1" applyFont="1" applyFill="1" applyBorder="1" applyAlignment="1" applyProtection="1">
      <alignment horizontal="center"/>
    </xf>
    <xf numFmtId="165" fontId="6" fillId="0" borderId="4" xfId="0" applyNumberFormat="1" applyFont="1" applyFill="1" applyBorder="1" applyAlignment="1" applyProtection="1">
      <alignment horizontal="center"/>
    </xf>
    <xf numFmtId="165" fontId="6" fillId="0" borderId="5" xfId="0" applyNumberFormat="1" applyFont="1" applyFill="1" applyBorder="1" applyAlignment="1" applyProtection="1">
      <alignment horizontal="center"/>
    </xf>
    <xf numFmtId="166" fontId="6" fillId="0" borderId="3" xfId="0" applyNumberFormat="1" applyFont="1" applyFill="1" applyBorder="1" applyAlignment="1" applyProtection="1">
      <alignment horizontal="center"/>
    </xf>
    <xf numFmtId="166" fontId="6" fillId="0" borderId="4" xfId="0" applyNumberFormat="1" applyFont="1" applyFill="1" applyBorder="1" applyAlignment="1" applyProtection="1">
      <alignment horizontal="center"/>
    </xf>
    <xf numFmtId="166" fontId="6" fillId="0" borderId="5" xfId="0" applyNumberFormat="1" applyFont="1" applyFill="1" applyBorder="1" applyAlignment="1" applyProtection="1">
      <alignment horizontal="center"/>
    </xf>
    <xf numFmtId="165" fontId="6" fillId="4" borderId="3" xfId="0" applyNumberFormat="1" applyFont="1" applyFill="1" applyBorder="1" applyAlignment="1" applyProtection="1">
      <alignment horizontal="center"/>
    </xf>
    <xf numFmtId="165" fontId="6" fillId="4" borderId="4" xfId="0" applyNumberFormat="1" applyFont="1" applyFill="1" applyBorder="1" applyAlignment="1" applyProtection="1">
      <alignment horizontal="center"/>
    </xf>
    <xf numFmtId="165" fontId="6" fillId="4" borderId="5" xfId="0" applyNumberFormat="1" applyFont="1" applyFill="1" applyBorder="1" applyAlignment="1" applyProtection="1">
      <alignment horizontal="center"/>
    </xf>
    <xf numFmtId="166" fontId="6" fillId="4" borderId="3" xfId="0" applyNumberFormat="1" applyFont="1" applyFill="1" applyBorder="1" applyAlignment="1" applyProtection="1">
      <alignment horizontal="center"/>
    </xf>
    <xf numFmtId="166" fontId="6" fillId="4" borderId="4" xfId="0" applyNumberFormat="1" applyFont="1" applyFill="1" applyBorder="1" applyAlignment="1" applyProtection="1">
      <alignment horizontal="center"/>
    </xf>
    <xf numFmtId="166" fontId="6" fillId="4" borderId="5" xfId="0" applyNumberFormat="1" applyFont="1" applyFill="1" applyBorder="1" applyAlignment="1" applyProtection="1">
      <alignment horizontal="center"/>
    </xf>
    <xf numFmtId="168" fontId="6" fillId="0" borderId="3" xfId="0" applyNumberFormat="1" applyFont="1" applyFill="1" applyBorder="1" applyAlignment="1" applyProtection="1">
      <alignment horizontal="center"/>
    </xf>
    <xf numFmtId="168" fontId="6" fillId="0" borderId="4" xfId="0" applyNumberFormat="1" applyFont="1" applyFill="1" applyBorder="1" applyAlignment="1" applyProtection="1">
      <alignment horizontal="center"/>
    </xf>
    <xf numFmtId="168" fontId="6" fillId="0" borderId="5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CC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Изчисление!$A$152:$B$152</c:f>
              <c:strCache>
                <c:ptCount val="1"/>
                <c:pt idx="0">
                  <c:v>V1 = 107,3 км/ч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  <a:tailEnd type="triangle" w="lg" len="lg"/>
            </a:ln>
            <a:effectLst/>
          </c:spPr>
          <c:marker>
            <c:symbol val="none"/>
          </c:marker>
          <c:xVal>
            <c:numRef>
              <c:f>Изчисление!$B$163:$B$164</c:f>
              <c:numCache>
                <c:formatCode>0.0</c:formatCode>
                <c:ptCount val="2"/>
                <c:pt idx="0">
                  <c:v>-107.3</c:v>
                </c:pt>
                <c:pt idx="1">
                  <c:v>0</c:v>
                </c:pt>
              </c:numCache>
            </c:numRef>
          </c:xVal>
          <c:yVal>
            <c:numRef>
              <c:f>Изчисление!$C$163:$C$164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28-4DA1-8690-E177259EAAE9}"/>
            </c:ext>
          </c:extLst>
        </c:ser>
        <c:ser>
          <c:idx val="1"/>
          <c:order val="1"/>
          <c:tx>
            <c:strRef>
              <c:f>Изчисление!$A$153:$B$153</c:f>
              <c:strCache>
                <c:ptCount val="1"/>
                <c:pt idx="0">
                  <c:v>u1 = 37,8 км/ч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  <a:tailEnd type="triangle" w="lg" len="lg"/>
            </a:ln>
            <a:effectLst/>
          </c:spPr>
          <c:marker>
            <c:symbol val="none"/>
          </c:marker>
          <c:xVal>
            <c:numRef>
              <c:f>Изчисление!$B$168:$B$169</c:f>
              <c:numCache>
                <c:formatCode>0.0</c:formatCode>
                <c:ptCount val="2"/>
                <c:pt idx="0">
                  <c:v>-107.3</c:v>
                </c:pt>
                <c:pt idx="1">
                  <c:v>-71.599999999999994</c:v>
                </c:pt>
              </c:numCache>
            </c:numRef>
          </c:xVal>
          <c:yVal>
            <c:numRef>
              <c:f>Изчисление!$C$168:$C$169</c:f>
              <c:numCache>
                <c:formatCode>0.0</c:formatCode>
                <c:ptCount val="2"/>
                <c:pt idx="0">
                  <c:v>0</c:v>
                </c:pt>
                <c:pt idx="1">
                  <c:v>-12.3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28-4DA1-8690-E177259EAAE9}"/>
            </c:ext>
          </c:extLst>
        </c:ser>
        <c:ser>
          <c:idx val="2"/>
          <c:order val="2"/>
          <c:tx>
            <c:strRef>
              <c:f>Изчисление!$A$156:$B$156</c:f>
              <c:strCache>
                <c:ptCount val="1"/>
                <c:pt idx="0">
                  <c:v>ΔV1 = 72,6 км/ч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  <a:tailEnd type="triangle" w="lg" len="lg"/>
            </a:ln>
            <a:effectLst/>
          </c:spPr>
          <c:marker>
            <c:symbol val="none"/>
          </c:marker>
          <c:xVal>
            <c:numRef>
              <c:f>Изчисление!$B$173:$B$174</c:f>
              <c:numCache>
                <c:formatCode>0.0</c:formatCode>
                <c:ptCount val="2"/>
                <c:pt idx="0">
                  <c:v>0</c:v>
                </c:pt>
                <c:pt idx="1">
                  <c:v>-71.599999999999994</c:v>
                </c:pt>
              </c:numCache>
            </c:numRef>
          </c:xVal>
          <c:yVal>
            <c:numRef>
              <c:f>Изчисление!$C$173:$C$174</c:f>
              <c:numCache>
                <c:formatCode>0.0</c:formatCode>
                <c:ptCount val="2"/>
                <c:pt idx="0">
                  <c:v>0</c:v>
                </c:pt>
                <c:pt idx="1">
                  <c:v>-12.3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28-4DA1-8690-E177259EAAE9}"/>
            </c:ext>
          </c:extLst>
        </c:ser>
        <c:ser>
          <c:idx val="3"/>
          <c:order val="3"/>
          <c:tx>
            <c:strRef>
              <c:f>Изчисление!$G$152:$H$152</c:f>
              <c:strCache>
                <c:ptCount val="1"/>
                <c:pt idx="0">
                  <c:v>V2 = 120,2 км/ч</c:v>
                </c:pt>
              </c:strCache>
            </c:strRef>
          </c:tx>
          <c:spPr>
            <a:ln w="50800" cap="rnd">
              <a:solidFill>
                <a:srgbClr val="002060"/>
              </a:solidFill>
              <a:round/>
              <a:tailEnd type="triangle" w="lg" len="lg"/>
            </a:ln>
            <a:effectLst/>
          </c:spPr>
          <c:marker>
            <c:symbol val="none"/>
          </c:marker>
          <c:xVal>
            <c:numRef>
              <c:f>Изчисление!$H$163:$H$164</c:f>
              <c:numCache>
                <c:formatCode>0.0</c:formatCode>
                <c:ptCount val="2"/>
                <c:pt idx="0">
                  <c:v>119</c:v>
                </c:pt>
                <c:pt idx="1">
                  <c:v>0</c:v>
                </c:pt>
              </c:numCache>
            </c:numRef>
          </c:xVal>
          <c:yVal>
            <c:numRef>
              <c:f>Изчисление!$I$163:$I$164</c:f>
              <c:numCache>
                <c:formatCode>0.0</c:formatCode>
                <c:ptCount val="2"/>
                <c:pt idx="0">
                  <c:v>16.7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28-4DA1-8690-E177259EAAE9}"/>
            </c:ext>
          </c:extLst>
        </c:ser>
        <c:ser>
          <c:idx val="4"/>
          <c:order val="4"/>
          <c:tx>
            <c:strRef>
              <c:f>Изчисление!$G$153:$H$153</c:f>
              <c:strCache>
                <c:ptCount val="1"/>
                <c:pt idx="0">
                  <c:v>u2 = 56,5 км/ч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  <a:tailEnd type="triangle" w="lg" len="lg"/>
            </a:ln>
            <a:effectLst/>
          </c:spPr>
          <c:marker>
            <c:symbol val="none"/>
          </c:marker>
          <c:xVal>
            <c:numRef>
              <c:f>Изчисление!$H$168:$H$169</c:f>
              <c:numCache>
                <c:formatCode>0.0</c:formatCode>
                <c:ptCount val="2"/>
                <c:pt idx="0">
                  <c:v>119</c:v>
                </c:pt>
                <c:pt idx="1">
                  <c:v>62.8</c:v>
                </c:pt>
              </c:numCache>
            </c:numRef>
          </c:xVal>
          <c:yVal>
            <c:numRef>
              <c:f>Изчисление!$I$168:$I$169</c:f>
              <c:numCache>
                <c:formatCode>0.0</c:formatCode>
                <c:ptCount val="2"/>
                <c:pt idx="0">
                  <c:v>16.7</c:v>
                </c:pt>
                <c:pt idx="1">
                  <c:v>10.8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28-4DA1-8690-E177259EAAE9}"/>
            </c:ext>
          </c:extLst>
        </c:ser>
        <c:ser>
          <c:idx val="5"/>
          <c:order val="5"/>
          <c:tx>
            <c:strRef>
              <c:f>Изчисление!$G$156:$H$156</c:f>
              <c:strCache>
                <c:ptCount val="1"/>
                <c:pt idx="0">
                  <c:v>ΔV2 = 63,7 км/ч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  <a:tailEnd type="triangle" w="lg" len="lg"/>
            </a:ln>
            <a:effectLst/>
          </c:spPr>
          <c:marker>
            <c:symbol val="none"/>
          </c:marker>
          <c:xVal>
            <c:numRef>
              <c:f>Изчисление!$H$173:$H$174</c:f>
              <c:numCache>
                <c:formatCode>0.0</c:formatCode>
                <c:ptCount val="2"/>
                <c:pt idx="0">
                  <c:v>0</c:v>
                </c:pt>
                <c:pt idx="1">
                  <c:v>62.8</c:v>
                </c:pt>
              </c:numCache>
            </c:numRef>
          </c:xVal>
          <c:yVal>
            <c:numRef>
              <c:f>Изчисление!$I$173:$I$174</c:f>
              <c:numCache>
                <c:formatCode>0.0</c:formatCode>
                <c:ptCount val="2"/>
                <c:pt idx="0">
                  <c:v>0</c:v>
                </c:pt>
                <c:pt idx="1">
                  <c:v>10.8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28-4DA1-8690-E177259EA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683424"/>
        <c:axId val="623683984"/>
      </c:scatterChart>
      <c:valAx>
        <c:axId val="623683424"/>
        <c:scaling>
          <c:orientation val="minMax"/>
          <c:max val="120"/>
          <c:min val="-1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1.0466600568999495E-2"/>
              <c:y val="0.51445251586542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bg-B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623683984"/>
        <c:crosses val="autoZero"/>
        <c:crossBetween val="midCat"/>
      </c:valAx>
      <c:valAx>
        <c:axId val="623683984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layout>
            <c:manualLayout>
              <c:xMode val="edge"/>
              <c:yMode val="edge"/>
              <c:x val="0.43970686209193871"/>
              <c:y val="0.94682341109230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bg-B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623683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24576345145554"/>
          <c:y val="0.64769614078614002"/>
          <c:w val="0.25640788218684452"/>
          <c:h val="0.303127816801105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Изчисление!$Q$152:$R$152</c:f>
              <c:strCache>
                <c:ptCount val="1"/>
                <c:pt idx="0">
                  <c:v>V1 = 106,2 км/ч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  <a:tailEnd type="triangle" w="lg" len="lg"/>
            </a:ln>
            <a:effectLst/>
          </c:spPr>
          <c:marker>
            <c:symbol val="none"/>
          </c:marker>
          <c:xVal>
            <c:numRef>
              <c:f>Изчисление!$R$163:$R$164</c:f>
              <c:numCache>
                <c:formatCode>0.00</c:formatCode>
                <c:ptCount val="2"/>
                <c:pt idx="0" formatCode="0.0">
                  <c:v>-106.2</c:v>
                </c:pt>
                <c:pt idx="1">
                  <c:v>0</c:v>
                </c:pt>
              </c:numCache>
            </c:numRef>
          </c:xVal>
          <c:yVal>
            <c:numRef>
              <c:f>Изчисление!$S$163:$S$164</c:f>
              <c:numCache>
                <c:formatCode>0.00</c:formatCode>
                <c:ptCount val="2"/>
                <c:pt idx="0" formatCode="0.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D4-42BE-95CC-95B8205A7459}"/>
            </c:ext>
          </c:extLst>
        </c:ser>
        <c:ser>
          <c:idx val="1"/>
          <c:order val="1"/>
          <c:tx>
            <c:strRef>
              <c:f>Изчисление!$Q$153:$R$153</c:f>
              <c:strCache>
                <c:ptCount val="1"/>
                <c:pt idx="0">
                  <c:v>u1 = 37,8 км/ч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  <a:tailEnd type="triangle" w="lg" len="lg"/>
            </a:ln>
            <a:effectLst/>
          </c:spPr>
          <c:marker>
            <c:symbol val="none"/>
          </c:marker>
          <c:xVal>
            <c:numRef>
              <c:f>Изчисление!$R$168:$R$169</c:f>
              <c:numCache>
                <c:formatCode>0.0</c:formatCode>
                <c:ptCount val="2"/>
                <c:pt idx="0">
                  <c:v>-106.2</c:v>
                </c:pt>
                <c:pt idx="1">
                  <c:v>-70.5</c:v>
                </c:pt>
              </c:numCache>
            </c:numRef>
          </c:xVal>
          <c:yVal>
            <c:numRef>
              <c:f>Изчисление!$S$168:$S$169</c:f>
              <c:numCache>
                <c:formatCode>0.0</c:formatCode>
                <c:ptCount val="2"/>
                <c:pt idx="0" formatCode="0.00">
                  <c:v>0</c:v>
                </c:pt>
                <c:pt idx="1">
                  <c:v>-12.3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D4-42BE-95CC-95B8205A7459}"/>
            </c:ext>
          </c:extLst>
        </c:ser>
        <c:ser>
          <c:idx val="2"/>
          <c:order val="2"/>
          <c:tx>
            <c:strRef>
              <c:f>Изчисление!$Q$156:$R$156</c:f>
              <c:strCache>
                <c:ptCount val="1"/>
                <c:pt idx="0">
                  <c:v>ΔV1 = 71,6 км/ч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  <a:tailEnd type="triangle" w="lg" len="lg"/>
            </a:ln>
            <a:effectLst/>
          </c:spPr>
          <c:marker>
            <c:symbol val="none"/>
          </c:marker>
          <c:xVal>
            <c:numRef>
              <c:f>Изчисление!$R$173:$R$174</c:f>
              <c:numCache>
                <c:formatCode>0.0</c:formatCode>
                <c:ptCount val="2"/>
                <c:pt idx="0" formatCode="0.00">
                  <c:v>0</c:v>
                </c:pt>
                <c:pt idx="1">
                  <c:v>-70.5</c:v>
                </c:pt>
              </c:numCache>
            </c:numRef>
          </c:xVal>
          <c:yVal>
            <c:numRef>
              <c:f>Изчисление!$S$173:$S$174</c:f>
              <c:numCache>
                <c:formatCode>0.0</c:formatCode>
                <c:ptCount val="2"/>
                <c:pt idx="0" formatCode="0.00">
                  <c:v>0</c:v>
                </c:pt>
                <c:pt idx="1">
                  <c:v>-12.3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D4-42BE-95CC-95B8205A7459}"/>
            </c:ext>
          </c:extLst>
        </c:ser>
        <c:ser>
          <c:idx val="3"/>
          <c:order val="3"/>
          <c:tx>
            <c:strRef>
              <c:f>Изчисление!$V$152:$W$152</c:f>
              <c:strCache>
                <c:ptCount val="1"/>
                <c:pt idx="0">
                  <c:v>V2 = 119,5 км/ч</c:v>
                </c:pt>
              </c:strCache>
            </c:strRef>
          </c:tx>
          <c:spPr>
            <a:ln w="50800" cap="rnd">
              <a:solidFill>
                <a:srgbClr val="002060"/>
              </a:solidFill>
              <a:round/>
              <a:tailEnd type="triangle" w="lg" len="lg"/>
            </a:ln>
            <a:effectLst/>
          </c:spPr>
          <c:marker>
            <c:symbol val="none"/>
          </c:marker>
          <c:xVal>
            <c:numRef>
              <c:f>Изчисление!$W$163:$W$164</c:f>
              <c:numCache>
                <c:formatCode>0.0</c:formatCode>
                <c:ptCount val="2"/>
                <c:pt idx="0">
                  <c:v>118.3</c:v>
                </c:pt>
                <c:pt idx="1">
                  <c:v>0</c:v>
                </c:pt>
              </c:numCache>
            </c:numRef>
          </c:xVal>
          <c:yVal>
            <c:numRef>
              <c:f>Изчисление!$X$163:$X$164</c:f>
              <c:numCache>
                <c:formatCode>0.0</c:formatCode>
                <c:ptCount val="2"/>
                <c:pt idx="0">
                  <c:v>16.600000000000001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D4-42BE-95CC-95B8205A7459}"/>
            </c:ext>
          </c:extLst>
        </c:ser>
        <c:ser>
          <c:idx val="4"/>
          <c:order val="4"/>
          <c:tx>
            <c:strRef>
              <c:f>Изчисление!$V$153:$W$153</c:f>
              <c:strCache>
                <c:ptCount val="1"/>
                <c:pt idx="0">
                  <c:v>u2 = 56,5 км/ч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  <a:tailEnd type="triangle" w="lg" len="lg"/>
            </a:ln>
            <a:effectLst/>
          </c:spPr>
          <c:marker>
            <c:symbol val="none"/>
          </c:marker>
          <c:xVal>
            <c:numRef>
              <c:f>Изчисление!$W$168:$W$169</c:f>
              <c:numCache>
                <c:formatCode>0.0</c:formatCode>
                <c:ptCount val="2"/>
                <c:pt idx="0">
                  <c:v>118.3</c:v>
                </c:pt>
                <c:pt idx="1">
                  <c:v>62.1</c:v>
                </c:pt>
              </c:numCache>
            </c:numRef>
          </c:xVal>
          <c:yVal>
            <c:numRef>
              <c:f>Изчисление!$X$168:$X$169</c:f>
              <c:numCache>
                <c:formatCode>0.0</c:formatCode>
                <c:ptCount val="2"/>
                <c:pt idx="0">
                  <c:v>16.600000000000001</c:v>
                </c:pt>
                <c:pt idx="1">
                  <c:v>10.7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D4-42BE-95CC-95B8205A7459}"/>
            </c:ext>
          </c:extLst>
        </c:ser>
        <c:ser>
          <c:idx val="5"/>
          <c:order val="5"/>
          <c:tx>
            <c:strRef>
              <c:f>Изчисление!$V$156:$W$156</c:f>
              <c:strCache>
                <c:ptCount val="1"/>
                <c:pt idx="0">
                  <c:v>ΔV2 = 63,0 км/ч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  <a:tailEnd type="triangle" w="lg" len="lg"/>
            </a:ln>
            <a:effectLst/>
          </c:spPr>
          <c:marker>
            <c:symbol val="none"/>
          </c:marker>
          <c:xVal>
            <c:numRef>
              <c:f>Изчисление!$W$173:$W$174</c:f>
              <c:numCache>
                <c:formatCode>0.0</c:formatCode>
                <c:ptCount val="2"/>
                <c:pt idx="0">
                  <c:v>0</c:v>
                </c:pt>
                <c:pt idx="1">
                  <c:v>62.1</c:v>
                </c:pt>
              </c:numCache>
            </c:numRef>
          </c:xVal>
          <c:yVal>
            <c:numRef>
              <c:f>Изчисление!$X$173:$X$174</c:f>
              <c:numCache>
                <c:formatCode>0.0</c:formatCode>
                <c:ptCount val="2"/>
                <c:pt idx="0">
                  <c:v>0</c:v>
                </c:pt>
                <c:pt idx="1">
                  <c:v>10.7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3D4-42BE-95CC-95B8205A7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689584"/>
        <c:axId val="623690144"/>
      </c:scatterChart>
      <c:valAx>
        <c:axId val="623689584"/>
        <c:scaling>
          <c:orientation val="minMax"/>
          <c:max val="120"/>
          <c:min val="-1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1.0466600568999495E-2"/>
              <c:y val="0.51445251586542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bg-B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623690144"/>
        <c:crosses val="autoZero"/>
        <c:crossBetween val="midCat"/>
      </c:valAx>
      <c:valAx>
        <c:axId val="623690144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layout>
            <c:manualLayout>
              <c:xMode val="edge"/>
              <c:yMode val="edge"/>
              <c:x val="0.43970686209193871"/>
              <c:y val="0.94682341109230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bg-B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623689584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1742522026299"/>
          <c:y val="0.52764314871067464"/>
          <c:w val="0.23847924572214294"/>
          <c:h val="0.423180666749090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6" fmlaLink="$B$13" horiz="1" max="360" page="10" val="0"/>
</file>

<file path=xl/ctrlProps/ctrlProp2.xml><?xml version="1.0" encoding="utf-8"?>
<formControlPr xmlns="http://schemas.microsoft.com/office/spreadsheetml/2009/9/main" objectType="Scroll" dx="26" fmlaLink="$B$14" horiz="1" max="360" page="10" val="341"/>
</file>

<file path=xl/ctrlProps/ctrlProp3.xml><?xml version="1.0" encoding="utf-8"?>
<formControlPr xmlns="http://schemas.microsoft.com/office/spreadsheetml/2009/9/main" objectType="Scroll" dx="26" fmlaLink="$M$13" horiz="1" max="360" page="10" val="188"/>
</file>

<file path=xl/ctrlProps/ctrlProp4.xml><?xml version="1.0" encoding="utf-8"?>
<formControlPr xmlns="http://schemas.microsoft.com/office/spreadsheetml/2009/9/main" objectType="Scroll" dx="26" fmlaLink="$M$14" horiz="1" max="360" page="10" val="186"/>
</file>

<file path=xl/ctrlProps/ctrlProp5.xml><?xml version="1.0" encoding="utf-8"?>
<formControlPr xmlns="http://schemas.microsoft.com/office/spreadsheetml/2009/9/main" objectType="Scroll" dx="26" fmlaLink="$B$18" horiz="1" max="360" page="10" val="9"/>
</file>

<file path=xl/ctrlProps/ctrlProp6.xml><?xml version="1.0" encoding="utf-8"?>
<formControlPr xmlns="http://schemas.microsoft.com/office/spreadsheetml/2009/9/main" objectType="Scroll" dx="26" fmlaLink="$B$19" horiz="1" max="200" page="10" val="14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26.emf"/><Relationship Id="rId13" Type="http://schemas.openxmlformats.org/officeDocument/2006/relationships/image" Target="../media/image31.emf"/><Relationship Id="rId3" Type="http://schemas.openxmlformats.org/officeDocument/2006/relationships/image" Target="../media/image21.emf"/><Relationship Id="rId7" Type="http://schemas.openxmlformats.org/officeDocument/2006/relationships/image" Target="../media/image25.emf"/><Relationship Id="rId12" Type="http://schemas.openxmlformats.org/officeDocument/2006/relationships/image" Target="../media/image30.emf"/><Relationship Id="rId2" Type="http://schemas.openxmlformats.org/officeDocument/2006/relationships/image" Target="../media/image20.emf"/><Relationship Id="rId1" Type="http://schemas.openxmlformats.org/officeDocument/2006/relationships/image" Target="../media/image19.emf"/><Relationship Id="rId6" Type="http://schemas.openxmlformats.org/officeDocument/2006/relationships/image" Target="../media/image24.emf"/><Relationship Id="rId11" Type="http://schemas.openxmlformats.org/officeDocument/2006/relationships/image" Target="../media/image29.emf"/><Relationship Id="rId5" Type="http://schemas.openxmlformats.org/officeDocument/2006/relationships/image" Target="../media/image23.emf"/><Relationship Id="rId15" Type="http://schemas.openxmlformats.org/officeDocument/2006/relationships/image" Target="../media/image33.emf"/><Relationship Id="rId10" Type="http://schemas.openxmlformats.org/officeDocument/2006/relationships/image" Target="../media/image28.emf"/><Relationship Id="rId4" Type="http://schemas.openxmlformats.org/officeDocument/2006/relationships/image" Target="../media/image22.emf"/><Relationship Id="rId9" Type="http://schemas.openxmlformats.org/officeDocument/2006/relationships/image" Target="../media/image27.emf"/><Relationship Id="rId14" Type="http://schemas.openxmlformats.org/officeDocument/2006/relationships/image" Target="../media/image32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21.emf"/><Relationship Id="rId13" Type="http://schemas.openxmlformats.org/officeDocument/2006/relationships/image" Target="../media/image36.emf"/><Relationship Id="rId18" Type="http://schemas.openxmlformats.org/officeDocument/2006/relationships/image" Target="../media/image14.emf"/><Relationship Id="rId3" Type="http://schemas.openxmlformats.org/officeDocument/2006/relationships/image" Target="../media/image29.emf"/><Relationship Id="rId21" Type="http://schemas.openxmlformats.org/officeDocument/2006/relationships/image" Target="../media/image27.emf"/><Relationship Id="rId7" Type="http://schemas.openxmlformats.org/officeDocument/2006/relationships/image" Target="../media/image35.emf"/><Relationship Id="rId12" Type="http://schemas.openxmlformats.org/officeDocument/2006/relationships/image" Target="../media/image25.emf"/><Relationship Id="rId17" Type="http://schemas.openxmlformats.org/officeDocument/2006/relationships/image" Target="../media/image13.emf"/><Relationship Id="rId2" Type="http://schemas.openxmlformats.org/officeDocument/2006/relationships/image" Target="../media/image28.emf"/><Relationship Id="rId16" Type="http://schemas.openxmlformats.org/officeDocument/2006/relationships/image" Target="../media/image39.emf"/><Relationship Id="rId20" Type="http://schemas.openxmlformats.org/officeDocument/2006/relationships/image" Target="../media/image41.emf"/><Relationship Id="rId1" Type="http://schemas.openxmlformats.org/officeDocument/2006/relationships/image" Target="../media/image19.emf"/><Relationship Id="rId6" Type="http://schemas.openxmlformats.org/officeDocument/2006/relationships/image" Target="../media/image26.emf"/><Relationship Id="rId11" Type="http://schemas.openxmlformats.org/officeDocument/2006/relationships/image" Target="../media/image24.emf"/><Relationship Id="rId5" Type="http://schemas.openxmlformats.org/officeDocument/2006/relationships/image" Target="../media/image33.emf"/><Relationship Id="rId15" Type="http://schemas.openxmlformats.org/officeDocument/2006/relationships/image" Target="../media/image38.emf"/><Relationship Id="rId10" Type="http://schemas.openxmlformats.org/officeDocument/2006/relationships/image" Target="../media/image23.emf"/><Relationship Id="rId19" Type="http://schemas.openxmlformats.org/officeDocument/2006/relationships/image" Target="../media/image40.emf"/><Relationship Id="rId4" Type="http://schemas.openxmlformats.org/officeDocument/2006/relationships/image" Target="../media/image34.emf"/><Relationship Id="rId9" Type="http://schemas.openxmlformats.org/officeDocument/2006/relationships/image" Target="../media/image22.emf"/><Relationship Id="rId14" Type="http://schemas.openxmlformats.org/officeDocument/2006/relationships/image" Target="../media/image3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3060209</xdr:colOff>
      <xdr:row>19</xdr:row>
      <xdr:rowOff>191544</xdr:rowOff>
    </xdr:from>
    <xdr:to>
      <xdr:col>11</xdr:col>
      <xdr:colOff>47554</xdr:colOff>
      <xdr:row>22</xdr:row>
      <xdr:rowOff>158138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020"/>
        <a:stretch>
          <a:fillRect/>
        </a:stretch>
      </xdr:blipFill>
      <xdr:spPr bwMode="auto">
        <a:xfrm>
          <a:off x="12977095" y="3740287"/>
          <a:ext cx="2462860" cy="5544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18126</xdr:colOff>
      <xdr:row>20</xdr:row>
      <xdr:rowOff>51313</xdr:rowOff>
    </xdr:from>
    <xdr:to>
      <xdr:col>9</xdr:col>
      <xdr:colOff>442589</xdr:colOff>
      <xdr:row>22</xdr:row>
      <xdr:rowOff>165102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t="10843" r="2709" b="13253"/>
        <a:stretch>
          <a:fillRect/>
        </a:stretch>
      </xdr:blipFill>
      <xdr:spPr bwMode="auto">
        <a:xfrm>
          <a:off x="9924126" y="4331213"/>
          <a:ext cx="2819321" cy="5201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746760</xdr:colOff>
          <xdr:row>133</xdr:row>
          <xdr:rowOff>106680</xdr:rowOff>
        </xdr:from>
        <xdr:to>
          <xdr:col>7</xdr:col>
          <xdr:colOff>152400</xdr:colOff>
          <xdr:row>136</xdr:row>
          <xdr:rowOff>22860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502920</xdr:colOff>
          <xdr:row>72</xdr:row>
          <xdr:rowOff>190500</xdr:rowOff>
        </xdr:from>
        <xdr:to>
          <xdr:col>12</xdr:col>
          <xdr:colOff>1066800</xdr:colOff>
          <xdr:row>75</xdr:row>
          <xdr:rowOff>60960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144780</xdr:colOff>
          <xdr:row>88</xdr:row>
          <xdr:rowOff>121920</xdr:rowOff>
        </xdr:from>
        <xdr:to>
          <xdr:col>7</xdr:col>
          <xdr:colOff>937260</xdr:colOff>
          <xdr:row>91</xdr:row>
          <xdr:rowOff>114300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845820</xdr:colOff>
          <xdr:row>106</xdr:row>
          <xdr:rowOff>7620</xdr:rowOff>
        </xdr:from>
        <xdr:to>
          <xdr:col>7</xdr:col>
          <xdr:colOff>670560</xdr:colOff>
          <xdr:row>108</xdr:row>
          <xdr:rowOff>99060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373380</xdr:colOff>
          <xdr:row>117</xdr:row>
          <xdr:rowOff>22860</xdr:rowOff>
        </xdr:from>
        <xdr:to>
          <xdr:col>8</xdr:col>
          <xdr:colOff>800100</xdr:colOff>
          <xdr:row>118</xdr:row>
          <xdr:rowOff>137160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601980</xdr:colOff>
          <xdr:row>142</xdr:row>
          <xdr:rowOff>60960</xdr:rowOff>
        </xdr:from>
        <xdr:to>
          <xdr:col>6</xdr:col>
          <xdr:colOff>289560</xdr:colOff>
          <xdr:row>145</xdr:row>
          <xdr:rowOff>22860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259080</xdr:colOff>
          <xdr:row>100</xdr:row>
          <xdr:rowOff>22860</xdr:rowOff>
        </xdr:from>
        <xdr:to>
          <xdr:col>7</xdr:col>
          <xdr:colOff>556260</xdr:colOff>
          <xdr:row>101</xdr:row>
          <xdr:rowOff>99060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754380</xdr:colOff>
          <xdr:row>127</xdr:row>
          <xdr:rowOff>76200</xdr:rowOff>
        </xdr:from>
        <xdr:to>
          <xdr:col>6</xdr:col>
          <xdr:colOff>632460</xdr:colOff>
          <xdr:row>130</xdr:row>
          <xdr:rowOff>99060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617220</xdr:colOff>
          <xdr:row>134</xdr:row>
          <xdr:rowOff>7620</xdr:rowOff>
        </xdr:from>
        <xdr:to>
          <xdr:col>23</xdr:col>
          <xdr:colOff>213360</xdr:colOff>
          <xdr:row>136</xdr:row>
          <xdr:rowOff>121920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609600</xdr:colOff>
          <xdr:row>90</xdr:row>
          <xdr:rowOff>0</xdr:rowOff>
        </xdr:from>
        <xdr:to>
          <xdr:col>22</xdr:col>
          <xdr:colOff>0</xdr:colOff>
          <xdr:row>92</xdr:row>
          <xdr:rowOff>190500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1295400</xdr:colOff>
          <xdr:row>105</xdr:row>
          <xdr:rowOff>114300</xdr:rowOff>
        </xdr:from>
        <xdr:to>
          <xdr:col>21</xdr:col>
          <xdr:colOff>381000</xdr:colOff>
          <xdr:row>107</xdr:row>
          <xdr:rowOff>190500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861060</xdr:colOff>
          <xdr:row>116</xdr:row>
          <xdr:rowOff>144780</xdr:rowOff>
        </xdr:from>
        <xdr:to>
          <xdr:col>21</xdr:col>
          <xdr:colOff>571500</xdr:colOff>
          <xdr:row>118</xdr:row>
          <xdr:rowOff>60960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365760</xdr:colOff>
          <xdr:row>141</xdr:row>
          <xdr:rowOff>137160</xdr:rowOff>
        </xdr:from>
        <xdr:to>
          <xdr:col>22</xdr:col>
          <xdr:colOff>259080</xdr:colOff>
          <xdr:row>144</xdr:row>
          <xdr:rowOff>99060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100</xdr:row>
          <xdr:rowOff>30480</xdr:rowOff>
        </xdr:from>
        <xdr:to>
          <xdr:col>20</xdr:col>
          <xdr:colOff>502920</xdr:colOff>
          <xdr:row>101</xdr:row>
          <xdr:rowOff>106680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127</xdr:row>
          <xdr:rowOff>76200</xdr:rowOff>
        </xdr:from>
        <xdr:to>
          <xdr:col>22</xdr:col>
          <xdr:colOff>83820</xdr:colOff>
          <xdr:row>130</xdr:row>
          <xdr:rowOff>99060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7620</xdr:colOff>
          <xdr:row>17</xdr:row>
          <xdr:rowOff>182880</xdr:rowOff>
        </xdr:from>
        <xdr:to>
          <xdr:col>21</xdr:col>
          <xdr:colOff>579120</xdr:colOff>
          <xdr:row>19</xdr:row>
          <xdr:rowOff>7620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601980</xdr:colOff>
          <xdr:row>17</xdr:row>
          <xdr:rowOff>190500</xdr:rowOff>
        </xdr:from>
        <xdr:to>
          <xdr:col>22</xdr:col>
          <xdr:colOff>1089660</xdr:colOff>
          <xdr:row>19</xdr:row>
          <xdr:rowOff>30480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19</xdr:row>
          <xdr:rowOff>30480</xdr:rowOff>
        </xdr:from>
        <xdr:to>
          <xdr:col>22</xdr:col>
          <xdr:colOff>22860</xdr:colOff>
          <xdr:row>20</xdr:row>
          <xdr:rowOff>76200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60960</xdr:colOff>
          <xdr:row>19</xdr:row>
          <xdr:rowOff>76200</xdr:rowOff>
        </xdr:from>
        <xdr:to>
          <xdr:col>23</xdr:col>
          <xdr:colOff>388620</xdr:colOff>
          <xdr:row>20</xdr:row>
          <xdr:rowOff>137160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</xdr:colOff>
          <xdr:row>23</xdr:row>
          <xdr:rowOff>22860</xdr:rowOff>
        </xdr:from>
        <xdr:to>
          <xdr:col>22</xdr:col>
          <xdr:colOff>708660</xdr:colOff>
          <xdr:row>24</xdr:row>
          <xdr:rowOff>60960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20</xdr:row>
          <xdr:rowOff>175260</xdr:rowOff>
        </xdr:from>
        <xdr:to>
          <xdr:col>23</xdr:col>
          <xdr:colOff>251460</xdr:colOff>
          <xdr:row>23</xdr:row>
          <xdr:rowOff>30480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</xdr:colOff>
          <xdr:row>25</xdr:row>
          <xdr:rowOff>76200</xdr:rowOff>
        </xdr:from>
        <xdr:to>
          <xdr:col>17</xdr:col>
          <xdr:colOff>228600</xdr:colOff>
          <xdr:row>28</xdr:row>
          <xdr:rowOff>60960</xdr:rowOff>
        </xdr:to>
        <xdr:sp macro="" textlink="">
          <xdr:nvSpPr>
            <xdr:cNvPr id="1108" name="Object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190500</xdr:colOff>
          <xdr:row>25</xdr:row>
          <xdr:rowOff>99060</xdr:rowOff>
        </xdr:from>
        <xdr:to>
          <xdr:col>25</xdr:col>
          <xdr:colOff>1127760</xdr:colOff>
          <xdr:row>28</xdr:row>
          <xdr:rowOff>76200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44516</xdr:colOff>
      <xdr:row>156</xdr:row>
      <xdr:rowOff>68046</xdr:rowOff>
    </xdr:from>
    <xdr:ext cx="2655214" cy="4460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SpPr txBox="1"/>
          </xdr:nvSpPr>
          <xdr:spPr>
            <a:xfrm>
              <a:off x="44516" y="41177946"/>
              <a:ext cx="2655214" cy="4460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a</m:t>
                        </m:r>
                        <m:r>
                          <m:rPr>
                            <m:sty m:val="p"/>
                          </m:rPr>
                          <a:rPr lang="en-US" sz="1400" i="0">
                            <a:latin typeface="Cambria Math" panose="02040503050406030204" pitchFamily="18" charset="0"/>
                          </a:rPr>
                          <m:t>tan</m:t>
                        </m:r>
                      </m:fName>
                      <m:e>
                        <m:f>
                          <m:f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 </m:t>
                                </m:r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func>
                                  <m:func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uncPr>
                                  <m:fName>
                                    <m:r>
                                      <m:rPr>
                                        <m:sty m:val="p"/>
                                      </m:rPr>
                                      <a:rPr lang="en-US" sz="14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cos</m:t>
                                    </m:r>
                                  </m:fName>
                                  <m:e>
                                    <m:sSub>
                                      <m:sSubPr>
                                        <m:ctrlP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m:rPr>
                                            <m:sty m:val="p"/>
                                          </m:rPr>
                                          <a:rPr lang="el-GR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α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</m:t>
                                        </m:r>
                                      </m:sub>
                                    </m:s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 </m:t>
                                    </m:r>
                                  </m:e>
                                </m:func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 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func>
                              <m:func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4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cos</m:t>
                                </m:r>
                              </m:fName>
                              <m:e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β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func>
                          </m:num>
                          <m:den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 </m:t>
                                </m:r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func>
                                  <m:func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uncPr>
                                  <m:fName>
                                    <m:r>
                                      <m:rPr>
                                        <m:sty m:val="p"/>
                                      </m:rPr>
                                      <a:rPr lang="en-US" sz="14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sin</m:t>
                                    </m:r>
                                  </m:fName>
                                  <m:e>
                                    <m:sSub>
                                      <m:sSubPr>
                                        <m:ctrlP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m:rPr>
                                            <m:sty m:val="p"/>
                                          </m:rPr>
                                          <a:rPr lang="el-GR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α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</m:t>
                                        </m:r>
                                      </m:sub>
                                    </m:s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 </m:t>
                                    </m:r>
                                  </m:e>
                                </m:func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 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func>
                              <m:func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4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sin</m:t>
                                </m:r>
                              </m:fName>
                              <m:e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β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func>
                          </m:den>
                        </m:f>
                      </m:e>
                    </m:func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xmlns:a14="http://schemas.microsoft.com/office/drawing/2010/main" xmlns="" id="{00000000-0008-0000-0000-000031000000}"/>
                </a:ext>
              </a:extLst>
            </xdr:cNvPr>
            <xdr:cNvSpPr txBox="1"/>
          </xdr:nvSpPr>
          <xdr:spPr>
            <a:xfrm>
              <a:off x="44516" y="41177946"/>
              <a:ext cx="2655214" cy="4460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a</a:t>
              </a:r>
              <a:r>
                <a:rPr lang="en-US" sz="1400" i="0">
                  <a:latin typeface="Cambria Math" panose="02040503050406030204" pitchFamily="18" charset="0"/>
                </a:rPr>
                <a:t>tan⁡〖(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𝑥=〖− 𝑉_1.cos⁡〖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α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_1   〗+ 𝑢〗_1.cos⁡〖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β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_1 〗)/(𝑥=〖− 𝑉_1.sin⁡〖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α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_1   〗+ 𝑢〗_1.sin⁡〖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β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_1 〗 )〗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6</xdr:col>
      <xdr:colOff>96254</xdr:colOff>
      <xdr:row>156</xdr:row>
      <xdr:rowOff>96252</xdr:rowOff>
    </xdr:from>
    <xdr:ext cx="2742417" cy="4460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0000000-0008-0000-0000-000032000000}"/>
                </a:ext>
              </a:extLst>
            </xdr:cNvPr>
            <xdr:cNvSpPr txBox="1"/>
          </xdr:nvSpPr>
          <xdr:spPr>
            <a:xfrm>
              <a:off x="8694154" y="41206152"/>
              <a:ext cx="2742417" cy="4460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a</m:t>
                        </m:r>
                        <m:r>
                          <m:rPr>
                            <m:sty m:val="p"/>
                          </m:rPr>
                          <a:rPr lang="en-US" sz="1400" i="0">
                            <a:latin typeface="Cambria Math" panose="02040503050406030204" pitchFamily="18" charset="0"/>
                          </a:rPr>
                          <m:t>tan</m:t>
                        </m:r>
                      </m:fName>
                      <m:e>
                        <m:f>
                          <m:f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 </m:t>
                                </m:r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func>
                                  <m:func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uncPr>
                                  <m:fName>
                                    <m:r>
                                      <m:rPr>
                                        <m:sty m:val="p"/>
                                      </m:rPr>
                                      <a:rPr lang="en-US" sz="14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cos</m:t>
                                    </m:r>
                                  </m:fName>
                                  <m:e>
                                    <m:sSub>
                                      <m:sSubPr>
                                        <m:ctrlP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m:rPr>
                                            <m:sty m:val="p"/>
                                          </m:rPr>
                                          <a:rPr lang="el-GR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α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 </m:t>
                                    </m:r>
                                  </m:e>
                                </m:func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 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func>
                              <m:func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4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cos</m:t>
                                </m:r>
                              </m:fName>
                              <m:e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β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</m:func>
                            <m:r>
                              <m:rPr>
                                <m:nor/>
                              </m:rPr>
                              <a:rPr lang="bg-BG" sz="1400">
                                <a:effectLst/>
                              </a:rPr>
                              <m:t> </m:t>
                            </m:r>
                          </m:num>
                          <m:den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 </m:t>
                                </m:r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func>
                                  <m:func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uncPr>
                                  <m:fName>
                                    <m:r>
                                      <m:rPr>
                                        <m:sty m:val="p"/>
                                      </m:rPr>
                                      <a:rPr lang="en-US" sz="14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sin</m:t>
                                    </m:r>
                                  </m:fName>
                                  <m:e>
                                    <m:sSub>
                                      <m:sSubPr>
                                        <m:ctrlP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m:rPr>
                                            <m:sty m:val="p"/>
                                          </m:rPr>
                                          <a:rPr lang="el-GR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α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 </m:t>
                                    </m:r>
                                  </m:e>
                                </m:func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 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func>
                              <m:func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4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sin</m:t>
                                </m:r>
                              </m:fName>
                              <m:e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β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</m:func>
                            <m:r>
                              <m:rPr>
                                <m:nor/>
                              </m:rPr>
                              <a:rPr lang="bg-BG" sz="1400">
                                <a:effectLst/>
                              </a:rPr>
                              <m:t> </m:t>
                            </m:r>
                          </m:den>
                        </m:f>
                      </m:e>
                    </m:func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xmlns:a14="http://schemas.microsoft.com/office/drawing/2010/main" xmlns="" id="{00000000-0008-0000-0000-000032000000}"/>
                </a:ext>
              </a:extLst>
            </xdr:cNvPr>
            <xdr:cNvSpPr txBox="1"/>
          </xdr:nvSpPr>
          <xdr:spPr>
            <a:xfrm>
              <a:off x="8694154" y="41206152"/>
              <a:ext cx="2742417" cy="4460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a</a:t>
              </a:r>
              <a:r>
                <a:rPr lang="en-US" sz="1400" i="0">
                  <a:latin typeface="Cambria Math" panose="02040503050406030204" pitchFamily="18" charset="0"/>
                </a:rPr>
                <a:t>tan⁡〖(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𝑥=〖− 𝑉_2.cos⁡〖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α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_2   〗+ 𝑢〗_2.cos⁡〖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β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_2 〗</a:t>
              </a:r>
              <a:r>
                <a:rPr lang="bg-BG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"</a:t>
              </a:r>
              <a:r>
                <a:rPr lang="bg-BG" sz="1400" i="0">
                  <a:effectLst/>
                </a:rPr>
                <a:t> </a:t>
              </a:r>
              <a:r>
                <a:rPr lang="bg-BG" sz="1400" i="0">
                  <a:effectLst/>
                  <a:latin typeface="Cambria Math" panose="02040503050406030204" pitchFamily="18" charset="0"/>
                </a:rPr>
                <a:t>" </a:t>
              </a:r>
              <a:r>
                <a:rPr lang="en-US" sz="1400" i="0">
                  <a:effectLst/>
                  <a:latin typeface="Cambria Math" panose="02040503050406030204" pitchFamily="18" charset="0"/>
                </a:rPr>
                <a:t>)/(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𝑥=〖− 𝑉_2.sin⁡〖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α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_2   〗+ 𝑢〗_2.sin⁡〖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β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_2 〗</a:t>
              </a:r>
              <a:r>
                <a:rPr lang="bg-BG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"</a:t>
              </a:r>
              <a:r>
                <a:rPr lang="bg-BG" sz="1400" i="0">
                  <a:effectLst/>
                </a:rPr>
                <a:t> </a:t>
              </a:r>
              <a:r>
                <a:rPr lang="bg-BG" sz="1400" i="0">
                  <a:effectLst/>
                  <a:latin typeface="Cambria Math" panose="02040503050406030204" pitchFamily="18" charset="0"/>
                </a:rPr>
                <a:t>" </a:t>
              </a:r>
              <a:r>
                <a:rPr lang="en-US" sz="1400" i="0">
                  <a:effectLst/>
                  <a:latin typeface="Cambria Math" panose="02040503050406030204" pitchFamily="18" charset="0"/>
                </a:rPr>
                <a:t>)〗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0</xdr:col>
      <xdr:colOff>207532</xdr:colOff>
      <xdr:row>28</xdr:row>
      <xdr:rowOff>11655</xdr:rowOff>
    </xdr:from>
    <xdr:to>
      <xdr:col>5</xdr:col>
      <xdr:colOff>360947</xdr:colOff>
      <xdr:row>47</xdr:row>
      <xdr:rowOff>175460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325291</xdr:colOff>
      <xdr:row>174</xdr:row>
      <xdr:rowOff>134662</xdr:rowOff>
    </xdr:from>
    <xdr:ext cx="1009892" cy="4047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SpPr txBox="1"/>
          </xdr:nvSpPr>
          <xdr:spPr>
            <a:xfrm>
              <a:off x="1609805" y="34936291"/>
              <a:ext cx="1009892" cy="404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a</m:t>
                        </m:r>
                        <m:r>
                          <m:rPr>
                            <m:sty m:val="p"/>
                          </m:rPr>
                          <a:rPr lang="en-US" sz="1400" i="0">
                            <a:latin typeface="Cambria Math" panose="02040503050406030204" pitchFamily="18" charset="0"/>
                          </a:rPr>
                          <m:t>tan</m:t>
                        </m:r>
                      </m:fName>
                      <m:e>
                        <m:f>
                          <m:f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m:rPr>
                                <m:sty m:val="p"/>
                              </m:rPr>
                              <a:rPr lang="el-GR" sz="1400" b="0" i="1">
                                <a:latin typeface="Cambria Math" panose="02040503050406030204" pitchFamily="18" charset="0"/>
                              </a:rPr>
                              <m:t>Δ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m:rPr>
                                <m:sty m:val="p"/>
                              </m:rPr>
                              <a:rPr lang="el-GR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Δ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=</m:t>
                        </m:r>
                      </m:e>
                    </m:func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SpPr txBox="1"/>
          </xdr:nvSpPr>
          <xdr:spPr>
            <a:xfrm>
              <a:off x="1609805" y="34936291"/>
              <a:ext cx="1009892" cy="404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a</a:t>
              </a:r>
              <a:r>
                <a:rPr lang="en-US" sz="1400" i="0">
                  <a:latin typeface="Cambria Math" panose="02040503050406030204" pitchFamily="18" charset="0"/>
                </a:rPr>
                <a:t>tan⁡〖</a:t>
              </a:r>
              <a:r>
                <a:rPr lang="en-US" sz="1400" b="0" i="0">
                  <a:latin typeface="Cambria Math" panose="02040503050406030204" pitchFamily="18" charset="0"/>
                </a:rPr>
                <a:t>𝑦</a:t>
              </a:r>
              <a:r>
                <a:rPr lang="el-GR" sz="1400" b="0" i="0">
                  <a:latin typeface="Cambria Math" panose="02040503050406030204" pitchFamily="18" charset="0"/>
                </a:rPr>
                <a:t>Δ</a:t>
              </a:r>
              <a:r>
                <a:rPr lang="en-US" sz="1400" b="0" i="0">
                  <a:latin typeface="Cambria Math" panose="02040503050406030204" pitchFamily="18" charset="0"/>
                </a:rPr>
                <a:t>𝑉1/𝑥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Δ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𝑉1</a:t>
              </a:r>
              <a:r>
                <a:rPr lang="en-US" sz="1400" b="0" i="0">
                  <a:latin typeface="Cambria Math" panose="02040503050406030204" pitchFamily="18" charset="0"/>
                </a:rPr>
                <a:t>=〗</a:t>
              </a:r>
              <a:endParaRPr lang="bg-BG" sz="1400"/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495300</xdr:colOff>
          <xdr:row>73</xdr:row>
          <xdr:rowOff>30480</xdr:rowOff>
        </xdr:from>
        <xdr:to>
          <xdr:col>2</xdr:col>
          <xdr:colOff>190500</xdr:colOff>
          <xdr:row>75</xdr:row>
          <xdr:rowOff>99060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16</xdr:col>
      <xdr:colOff>56547</xdr:colOff>
      <xdr:row>157</xdr:row>
      <xdr:rowOff>57351</xdr:rowOff>
    </xdr:from>
    <xdr:ext cx="2655214" cy="4460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00000000-0008-0000-0000-00005C000000}"/>
                </a:ext>
              </a:extLst>
            </xdr:cNvPr>
            <xdr:cNvSpPr txBox="1"/>
          </xdr:nvSpPr>
          <xdr:spPr>
            <a:xfrm>
              <a:off x="26425758" y="26677219"/>
              <a:ext cx="2655214" cy="4460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a</m:t>
                        </m:r>
                        <m:r>
                          <m:rPr>
                            <m:sty m:val="p"/>
                          </m:rPr>
                          <a:rPr lang="en-US" sz="1400" i="0">
                            <a:latin typeface="Cambria Math" panose="02040503050406030204" pitchFamily="18" charset="0"/>
                          </a:rPr>
                          <m:t>tan</m:t>
                        </m:r>
                      </m:fName>
                      <m:e>
                        <m:f>
                          <m:f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 </m:t>
                                </m:r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func>
                                  <m:func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uncPr>
                                  <m:fName>
                                    <m:r>
                                      <m:rPr>
                                        <m:sty m:val="p"/>
                                      </m:rPr>
                                      <a:rPr lang="en-US" sz="14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cos</m:t>
                                    </m:r>
                                  </m:fName>
                                  <m:e>
                                    <m:sSub>
                                      <m:sSubPr>
                                        <m:ctrlP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m:rPr>
                                            <m:sty m:val="p"/>
                                          </m:rPr>
                                          <a:rPr lang="el-GR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α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</m:t>
                                        </m:r>
                                      </m:sub>
                                    </m:s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 </m:t>
                                    </m:r>
                                  </m:e>
                                </m:func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 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func>
                              <m:func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4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cos</m:t>
                                </m:r>
                              </m:fName>
                              <m:e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β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func>
                          </m:num>
                          <m:den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 </m:t>
                                </m:r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func>
                                  <m:func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uncPr>
                                  <m:fName>
                                    <m:r>
                                      <m:rPr>
                                        <m:sty m:val="p"/>
                                      </m:rPr>
                                      <a:rPr lang="en-US" sz="14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sin</m:t>
                                    </m:r>
                                  </m:fName>
                                  <m:e>
                                    <m:sSub>
                                      <m:sSubPr>
                                        <m:ctrlP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m:rPr>
                                            <m:sty m:val="p"/>
                                          </m:rPr>
                                          <a:rPr lang="el-GR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α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</m:t>
                                        </m:r>
                                      </m:sub>
                                    </m:s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 </m:t>
                                    </m:r>
                                  </m:e>
                                </m:func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 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func>
                              <m:func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4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sin</m:t>
                                </m:r>
                              </m:fName>
                              <m:e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β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func>
                          </m:den>
                        </m:f>
                      </m:e>
                    </m:func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00000000-0008-0000-0000-00005C000000}"/>
                </a:ext>
              </a:extLst>
            </xdr:cNvPr>
            <xdr:cNvSpPr txBox="1"/>
          </xdr:nvSpPr>
          <xdr:spPr>
            <a:xfrm>
              <a:off x="26425758" y="26677219"/>
              <a:ext cx="2655214" cy="4460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a</a:t>
              </a:r>
              <a:r>
                <a:rPr lang="en-US" sz="1400" i="0">
                  <a:latin typeface="Cambria Math" panose="02040503050406030204" pitchFamily="18" charset="0"/>
                </a:rPr>
                <a:t>tan⁡〖(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𝑥=〖− 𝑉_1.cos⁡〖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α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_1   〗+ 𝑢〗_1.cos⁡〖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β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_1 〗)/(𝑥=〖− 𝑉_1.sin⁡〖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α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_1   〗+ 𝑢〗_1.sin⁡〖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β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_1 〗 )〗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21</xdr:col>
      <xdr:colOff>290762</xdr:colOff>
      <xdr:row>157</xdr:row>
      <xdr:rowOff>100264</xdr:rowOff>
    </xdr:from>
    <xdr:ext cx="2158603" cy="3802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00000000-0008-0000-0000-00005D000000}"/>
                </a:ext>
              </a:extLst>
            </xdr:cNvPr>
            <xdr:cNvSpPr txBox="1"/>
          </xdr:nvSpPr>
          <xdr:spPr>
            <a:xfrm>
              <a:off x="35844078" y="26720132"/>
              <a:ext cx="2158603" cy="3802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</m:t>
                        </m:r>
                        <m:r>
                          <m:rPr>
                            <m:sty m:val="p"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tan</m:t>
                        </m:r>
                      </m:fName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 </m:t>
                                </m:r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func>
                                  <m:func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uncPr>
                                  <m:fName>
                                    <m:r>
                                      <m:rPr>
                                        <m:sty m:val="p"/>
                                      </m:rPr>
                                      <a:rPr lang="en-US" sz="11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cos</m:t>
                                    </m:r>
                                  </m:fName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m:rPr>
                                            <m:sty m:val="p"/>
                                          </m:rPr>
                                          <a:rPr lang="el-GR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α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 </m:t>
                                    </m:r>
                                  </m:e>
                                </m:func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 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func>
                              <m:func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cos</m:t>
                                </m:r>
                              </m:fName>
                              <m:e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β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</m:func>
                            <m:r>
                              <m:rPr>
                                <m:nor/>
                              </m:rPr>
                              <a:rPr lang="bg-BG">
                                <a:effectLst/>
                              </a:rPr>
                              <m:t> 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 </m:t>
                                </m:r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func>
                                  <m:func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uncPr>
                                  <m:fName>
                                    <m:r>
                                      <m:rPr>
                                        <m:sty m:val="p"/>
                                      </m:rPr>
                                      <a:rPr lang="en-US" sz="11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sin</m:t>
                                    </m:r>
                                  </m:fName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m:rPr>
                                            <m:sty m:val="p"/>
                                          </m:rPr>
                                          <a:rPr lang="el-GR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α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 </m:t>
                                    </m:r>
                                  </m:e>
                                </m:func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 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func>
                              <m:func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sin</m:t>
                                </m:r>
                              </m:fName>
                              <m:e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l-G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β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</m:func>
                            <m:r>
                              <m:rPr>
                                <m:nor/>
                              </m:rPr>
                              <a:rPr lang="bg-BG">
                                <a:effectLst/>
                              </a:rPr>
                              <m:t> </m:t>
                            </m:r>
                          </m:den>
                        </m:f>
                      </m:e>
                    </m:func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00000000-0008-0000-0000-00005D000000}"/>
                </a:ext>
              </a:extLst>
            </xdr:cNvPr>
            <xdr:cNvSpPr txBox="1"/>
          </xdr:nvSpPr>
          <xdr:spPr>
            <a:xfrm>
              <a:off x="35844078" y="26720132"/>
              <a:ext cx="2158603" cy="3802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a</a:t>
              </a:r>
              <a:r>
                <a:rPr lang="en-US" sz="1100" i="0">
                  <a:latin typeface="Cambria Math" panose="02040503050406030204" pitchFamily="18" charset="0"/>
                </a:rPr>
                <a:t>tan⁡〖(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𝑥=〖− 𝑉_2.cos⁡〖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α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_2   〗+ 𝑢〗_2.cos⁡〖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_2 〗</a:t>
              </a:r>
              <a:r>
                <a:rPr lang="bg-BG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"</a:t>
              </a:r>
              <a:r>
                <a:rPr lang="bg-BG" i="0">
                  <a:effectLst/>
                </a:rPr>
                <a:t> </a:t>
              </a:r>
              <a:r>
                <a:rPr lang="bg-BG" i="0">
                  <a:effectLst/>
                  <a:latin typeface="Cambria Math" panose="02040503050406030204" pitchFamily="18" charset="0"/>
                </a:rPr>
                <a:t>" </a:t>
              </a:r>
              <a:r>
                <a:rPr lang="en-US" sz="1100" i="0">
                  <a:effectLst/>
                  <a:latin typeface="Cambria Math" panose="02040503050406030204" pitchFamily="18" charset="0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𝑥=〖− 𝑉_2.sin⁡〖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α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_2   〗+ 𝑢〗_2.sin⁡〖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_2 〗</a:t>
              </a:r>
              <a:r>
                <a:rPr lang="bg-BG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"</a:t>
              </a:r>
              <a:r>
                <a:rPr lang="bg-BG" i="0">
                  <a:effectLst/>
                </a:rPr>
                <a:t> </a:t>
              </a:r>
              <a:r>
                <a:rPr lang="bg-BG" i="0">
                  <a:effectLst/>
                  <a:latin typeface="Cambria Math" panose="02040503050406030204" pitchFamily="18" charset="0"/>
                </a:rPr>
                <a:t>" </a:t>
              </a:r>
              <a:r>
                <a:rPr lang="en-US" sz="1100" i="0">
                  <a:effectLst/>
                  <a:latin typeface="Cambria Math" panose="02040503050406030204" pitchFamily="18" charset="0"/>
                </a:rPr>
                <a:t>)〗</a:t>
              </a:r>
              <a:endParaRPr lang="bg-BG" sz="1100"/>
            </a:p>
          </xdr:txBody>
        </xdr:sp>
      </mc:Fallback>
    </mc:AlternateContent>
    <xdr:clientData/>
  </xdr:oneCellAnchor>
  <xdr:twoCellAnchor>
    <xdr:from>
      <xdr:col>6</xdr:col>
      <xdr:colOff>782052</xdr:colOff>
      <xdr:row>28</xdr:row>
      <xdr:rowOff>38925</xdr:rowOff>
    </xdr:from>
    <xdr:to>
      <xdr:col>13</xdr:col>
      <xdr:colOff>348343</xdr:colOff>
      <xdr:row>48</xdr:row>
      <xdr:rowOff>2075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7</xdr:col>
      <xdr:colOff>77480</xdr:colOff>
      <xdr:row>174</xdr:row>
      <xdr:rowOff>120384</xdr:rowOff>
    </xdr:from>
    <xdr:ext cx="1009892" cy="4047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00000000-0008-0000-0000-000060000000}"/>
                </a:ext>
              </a:extLst>
            </xdr:cNvPr>
            <xdr:cNvSpPr txBox="1"/>
          </xdr:nvSpPr>
          <xdr:spPr>
            <a:xfrm>
              <a:off x="9145280" y="34922013"/>
              <a:ext cx="1009892" cy="404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a</m:t>
                        </m:r>
                        <m:r>
                          <m:rPr>
                            <m:sty m:val="p"/>
                          </m:rPr>
                          <a:rPr lang="en-US" sz="1400" i="0">
                            <a:latin typeface="Cambria Math" panose="02040503050406030204" pitchFamily="18" charset="0"/>
                          </a:rPr>
                          <m:t>tan</m:t>
                        </m:r>
                      </m:fName>
                      <m:e>
                        <m:f>
                          <m:f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m:rPr>
                                <m:sty m:val="p"/>
                              </m:rPr>
                              <a:rPr lang="el-GR" sz="1400" b="0" i="1">
                                <a:latin typeface="Cambria Math" panose="02040503050406030204" pitchFamily="18" charset="0"/>
                              </a:rPr>
                              <m:t>Δ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m:rPr>
                                <m:sty m:val="p"/>
                              </m:rPr>
                              <a:rPr lang="el-GR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Δ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den>
                        </m:f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=</m:t>
                        </m:r>
                      </m:e>
                    </m:func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00000000-0008-0000-0000-000060000000}"/>
                </a:ext>
              </a:extLst>
            </xdr:cNvPr>
            <xdr:cNvSpPr txBox="1"/>
          </xdr:nvSpPr>
          <xdr:spPr>
            <a:xfrm>
              <a:off x="9145280" y="34922013"/>
              <a:ext cx="1009892" cy="404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a</a:t>
              </a:r>
              <a:r>
                <a:rPr lang="en-US" sz="1400" i="0">
                  <a:latin typeface="Cambria Math" panose="02040503050406030204" pitchFamily="18" charset="0"/>
                </a:rPr>
                <a:t>tan⁡〖</a:t>
              </a:r>
              <a:r>
                <a:rPr lang="en-US" sz="1400" b="0" i="0">
                  <a:latin typeface="Cambria Math" panose="02040503050406030204" pitchFamily="18" charset="0"/>
                </a:rPr>
                <a:t>𝑦</a:t>
              </a:r>
              <a:r>
                <a:rPr lang="el-GR" sz="1400" b="0" i="0">
                  <a:latin typeface="Cambria Math" panose="02040503050406030204" pitchFamily="18" charset="0"/>
                </a:rPr>
                <a:t>Δ</a:t>
              </a:r>
              <a:r>
                <a:rPr lang="en-US" sz="1400" b="0" i="0">
                  <a:latin typeface="Cambria Math" panose="02040503050406030204" pitchFamily="18" charset="0"/>
                </a:rPr>
                <a:t>𝑉2/𝑥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Δ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𝑉2</a:t>
              </a:r>
              <a:r>
                <a:rPr lang="en-US" sz="1400" b="0" i="0">
                  <a:latin typeface="Cambria Math" panose="02040503050406030204" pitchFamily="18" charset="0"/>
                </a:rPr>
                <a:t>=〗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16</xdr:col>
      <xdr:colOff>893909</xdr:colOff>
      <xdr:row>174</xdr:row>
      <xdr:rowOff>128708</xdr:rowOff>
    </xdr:from>
    <xdr:ext cx="1009892" cy="4047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SpPr txBox="1"/>
          </xdr:nvSpPr>
          <xdr:spPr>
            <a:xfrm>
              <a:off x="18234852" y="34930337"/>
              <a:ext cx="1009892" cy="404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a</m:t>
                        </m:r>
                        <m:r>
                          <m:rPr>
                            <m:sty m:val="p"/>
                          </m:rPr>
                          <a:rPr lang="en-US" sz="1400" i="0">
                            <a:latin typeface="Cambria Math" panose="02040503050406030204" pitchFamily="18" charset="0"/>
                          </a:rPr>
                          <m:t>tan</m:t>
                        </m:r>
                      </m:fName>
                      <m:e>
                        <m:f>
                          <m:f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m:rPr>
                                <m:sty m:val="p"/>
                              </m:rPr>
                              <a:rPr lang="el-GR" sz="1400" b="0" i="1">
                                <a:latin typeface="Cambria Math" panose="02040503050406030204" pitchFamily="18" charset="0"/>
                              </a:rPr>
                              <m:t>Δ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m:rPr>
                                <m:sty m:val="p"/>
                              </m:rPr>
                              <a:rPr lang="el-GR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Δ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=</m:t>
                        </m:r>
                      </m:e>
                    </m:func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SpPr txBox="1"/>
          </xdr:nvSpPr>
          <xdr:spPr>
            <a:xfrm>
              <a:off x="18234852" y="34930337"/>
              <a:ext cx="1009892" cy="404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a</a:t>
              </a:r>
              <a:r>
                <a:rPr lang="en-US" sz="1400" i="0">
                  <a:latin typeface="Cambria Math" panose="02040503050406030204" pitchFamily="18" charset="0"/>
                </a:rPr>
                <a:t>tan⁡〖</a:t>
              </a:r>
              <a:r>
                <a:rPr lang="en-US" sz="1400" b="0" i="0">
                  <a:latin typeface="Cambria Math" panose="02040503050406030204" pitchFamily="18" charset="0"/>
                </a:rPr>
                <a:t>𝑦</a:t>
              </a:r>
              <a:r>
                <a:rPr lang="el-GR" sz="1400" b="0" i="0">
                  <a:latin typeface="Cambria Math" panose="02040503050406030204" pitchFamily="18" charset="0"/>
                </a:rPr>
                <a:t>Δ</a:t>
              </a:r>
              <a:r>
                <a:rPr lang="en-US" sz="1400" b="0" i="0">
                  <a:latin typeface="Cambria Math" panose="02040503050406030204" pitchFamily="18" charset="0"/>
                </a:rPr>
                <a:t>𝑉1/𝑥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Δ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𝑉1</a:t>
              </a:r>
              <a:r>
                <a:rPr lang="en-US" sz="1400" b="0" i="0">
                  <a:latin typeface="Cambria Math" panose="02040503050406030204" pitchFamily="18" charset="0"/>
                </a:rPr>
                <a:t>=〗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21</xdr:col>
      <xdr:colOff>249731</xdr:colOff>
      <xdr:row>174</xdr:row>
      <xdr:rowOff>143436</xdr:rowOff>
    </xdr:from>
    <xdr:ext cx="1009892" cy="4047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SpPr txBox="1"/>
          </xdr:nvSpPr>
          <xdr:spPr>
            <a:xfrm>
              <a:off x="24372474" y="34945065"/>
              <a:ext cx="1009892" cy="404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a</m:t>
                        </m:r>
                        <m:r>
                          <m:rPr>
                            <m:sty m:val="p"/>
                          </m:rPr>
                          <a:rPr lang="en-US" sz="1400" i="0">
                            <a:latin typeface="Cambria Math" panose="02040503050406030204" pitchFamily="18" charset="0"/>
                          </a:rPr>
                          <m:t>tan</m:t>
                        </m:r>
                      </m:fName>
                      <m:e>
                        <m:f>
                          <m:f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m:rPr>
                                <m:sty m:val="p"/>
                              </m:rPr>
                              <a:rPr lang="el-GR" sz="1400" b="0" i="1">
                                <a:latin typeface="Cambria Math" panose="02040503050406030204" pitchFamily="18" charset="0"/>
                              </a:rPr>
                              <m:t>Δ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m:rPr>
                                <m:sty m:val="p"/>
                              </m:rPr>
                              <a:rPr lang="el-GR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Δ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den>
                        </m:f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=</m:t>
                        </m:r>
                      </m:e>
                    </m:func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SpPr txBox="1"/>
          </xdr:nvSpPr>
          <xdr:spPr>
            <a:xfrm>
              <a:off x="24372474" y="34945065"/>
              <a:ext cx="1009892" cy="404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a</a:t>
              </a:r>
              <a:r>
                <a:rPr lang="en-US" sz="1400" i="0">
                  <a:latin typeface="Cambria Math" panose="02040503050406030204" pitchFamily="18" charset="0"/>
                </a:rPr>
                <a:t>tan⁡〖</a:t>
              </a:r>
              <a:r>
                <a:rPr lang="en-US" sz="1400" b="0" i="0">
                  <a:latin typeface="Cambria Math" panose="02040503050406030204" pitchFamily="18" charset="0"/>
                </a:rPr>
                <a:t>𝑦</a:t>
              </a:r>
              <a:r>
                <a:rPr lang="el-GR" sz="1400" b="0" i="0">
                  <a:latin typeface="Cambria Math" panose="02040503050406030204" pitchFamily="18" charset="0"/>
                </a:rPr>
                <a:t>Δ</a:t>
              </a:r>
              <a:r>
                <a:rPr lang="en-US" sz="1400" b="0" i="0">
                  <a:latin typeface="Cambria Math" panose="02040503050406030204" pitchFamily="18" charset="0"/>
                </a:rPr>
                <a:t>𝑉2/𝑥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Δ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𝑉2</a:t>
              </a:r>
              <a:r>
                <a:rPr lang="en-US" sz="1400" b="0" i="0">
                  <a:latin typeface="Cambria Math" panose="02040503050406030204" pitchFamily="18" charset="0"/>
                </a:rPr>
                <a:t>=〗</a:t>
              </a:r>
              <a:endParaRPr lang="bg-BG" sz="1400"/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11</xdr:row>
          <xdr:rowOff>175260</xdr:rowOff>
        </xdr:from>
        <xdr:to>
          <xdr:col>2</xdr:col>
          <xdr:colOff>1592580</xdr:colOff>
          <xdr:row>12</xdr:row>
          <xdr:rowOff>175260</xdr:rowOff>
        </xdr:to>
        <xdr:sp macro="" textlink="">
          <xdr:nvSpPr>
            <xdr:cNvPr id="1111" name="Scroll Bar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12</xdr:row>
          <xdr:rowOff>175260</xdr:rowOff>
        </xdr:from>
        <xdr:to>
          <xdr:col>2</xdr:col>
          <xdr:colOff>1584960</xdr:colOff>
          <xdr:row>14</xdr:row>
          <xdr:rowOff>7620</xdr:rowOff>
        </xdr:to>
        <xdr:sp macro="" textlink="">
          <xdr:nvSpPr>
            <xdr:cNvPr id="1112" name="Scroll Bar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</xdr:colOff>
          <xdr:row>12</xdr:row>
          <xdr:rowOff>0</xdr:rowOff>
        </xdr:from>
        <xdr:to>
          <xdr:col>14</xdr:col>
          <xdr:colOff>693420</xdr:colOff>
          <xdr:row>12</xdr:row>
          <xdr:rowOff>175260</xdr:rowOff>
        </xdr:to>
        <xdr:sp macro="" textlink="">
          <xdr:nvSpPr>
            <xdr:cNvPr id="1113" name="Scroll Bar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45720</xdr:colOff>
          <xdr:row>13</xdr:row>
          <xdr:rowOff>0</xdr:rowOff>
        </xdr:from>
        <xdr:to>
          <xdr:col>14</xdr:col>
          <xdr:colOff>754380</xdr:colOff>
          <xdr:row>13</xdr:row>
          <xdr:rowOff>182880</xdr:rowOff>
        </xdr:to>
        <xdr:sp macro="" textlink="">
          <xdr:nvSpPr>
            <xdr:cNvPr id="1114" name="Scroll Bar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17</xdr:row>
          <xdr:rowOff>30480</xdr:rowOff>
        </xdr:from>
        <xdr:to>
          <xdr:col>2</xdr:col>
          <xdr:colOff>1600200</xdr:colOff>
          <xdr:row>18</xdr:row>
          <xdr:rowOff>22860</xdr:rowOff>
        </xdr:to>
        <xdr:sp macro="" textlink="">
          <xdr:nvSpPr>
            <xdr:cNvPr id="1116" name="Scroll Bar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18</xdr:row>
          <xdr:rowOff>45720</xdr:rowOff>
        </xdr:from>
        <xdr:to>
          <xdr:col>2</xdr:col>
          <xdr:colOff>1600200</xdr:colOff>
          <xdr:row>19</xdr:row>
          <xdr:rowOff>7620</xdr:rowOff>
        </xdr:to>
        <xdr:sp macro="" textlink="">
          <xdr:nvSpPr>
            <xdr:cNvPr id="1119" name="Scroll Bar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0.06307</cdr:x>
      <cdr:y>0.04593</cdr:y>
    </cdr:from>
    <cdr:to>
      <cdr:x>0.10457</cdr:x>
      <cdr:y>0.11021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3DA8B2C-46FE-45F4-A0A0-4F4CE4743B7B}"/>
            </a:ext>
          </a:extLst>
        </cdr:cNvPr>
        <cdr:cNvSpPr txBox="1"/>
      </cdr:nvSpPr>
      <cdr:spPr>
        <a:xfrm xmlns:a="http://schemas.openxmlformats.org/drawingml/2006/main">
          <a:off x="403325" y="183537"/>
          <a:ext cx="265405" cy="256873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2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ysClr val="windowText" lastClr="000000"/>
              </a:solidFill>
            </a:rPr>
            <a:t>V1</a:t>
          </a:r>
          <a:endParaRPr lang="bg-BG" sz="11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0.11718</cdr:x>
      <cdr:y>0.04301</cdr:y>
    </cdr:from>
    <cdr:to>
      <cdr:x>0.15578</cdr:x>
      <cdr:y>0.11231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39D488-1AD2-4A2D-884F-4A19DEA2E93B}"/>
            </a:ext>
          </a:extLst>
        </cdr:cNvPr>
        <cdr:cNvSpPr txBox="1"/>
      </cdr:nvSpPr>
      <cdr:spPr>
        <a:xfrm xmlns:a="http://schemas.openxmlformats.org/drawingml/2006/main">
          <a:off x="749401" y="171893"/>
          <a:ext cx="246836" cy="27691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2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u1</a:t>
          </a:r>
          <a:endParaRPr lang="bg-BG" sz="1100"/>
        </a:p>
      </cdr:txBody>
    </cdr:sp>
  </cdr:relSizeAnchor>
  <cdr:relSizeAnchor xmlns:cdr="http://schemas.openxmlformats.org/drawingml/2006/chartDrawing">
    <cdr:from>
      <cdr:x>0.16836</cdr:x>
      <cdr:y>0.04295</cdr:y>
    </cdr:from>
    <cdr:to>
      <cdr:x>0.22335</cdr:x>
      <cdr:y>0.11581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6E22603-D800-4387-9B97-F1A20B2349E1}"/>
            </a:ext>
          </a:extLst>
        </cdr:cNvPr>
        <cdr:cNvSpPr txBox="1"/>
      </cdr:nvSpPr>
      <cdr:spPr>
        <a:xfrm xmlns:a="http://schemas.openxmlformats.org/drawingml/2006/main">
          <a:off x="1076669" y="171635"/>
          <a:ext cx="351688" cy="291166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 sz="1100"/>
            <a:t>Δ</a:t>
          </a:r>
          <a:r>
            <a:rPr lang="en-US" sz="1100"/>
            <a:t>V1</a:t>
          </a:r>
          <a:endParaRPr lang="bg-BG" sz="1100"/>
        </a:p>
      </cdr:txBody>
    </cdr:sp>
  </cdr:relSizeAnchor>
  <cdr:relSizeAnchor xmlns:cdr="http://schemas.openxmlformats.org/drawingml/2006/chartDrawing">
    <cdr:from>
      <cdr:x>0.57104</cdr:x>
      <cdr:y>0.04462</cdr:y>
    </cdr:from>
    <cdr:to>
      <cdr:x>0.60964</cdr:x>
      <cdr:y>0.11156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D277EE36-A0A1-4F02-9282-09B1B65FB047}"/>
            </a:ext>
          </a:extLst>
        </cdr:cNvPr>
        <cdr:cNvSpPr txBox="1"/>
      </cdr:nvSpPr>
      <cdr:spPr>
        <a:xfrm xmlns:a="http://schemas.openxmlformats.org/drawingml/2006/main">
          <a:off x="3651881" y="178303"/>
          <a:ext cx="246835" cy="267498"/>
        </a:xfrm>
        <a:prstGeom xmlns:a="http://schemas.openxmlformats.org/drawingml/2006/main" prst="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2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V2</a:t>
          </a:r>
          <a:endParaRPr lang="bg-BG" sz="1100"/>
        </a:p>
      </cdr:txBody>
    </cdr:sp>
  </cdr:relSizeAnchor>
  <cdr:relSizeAnchor xmlns:cdr="http://schemas.openxmlformats.org/drawingml/2006/chartDrawing">
    <cdr:from>
      <cdr:x>0.67368</cdr:x>
      <cdr:y>0.04404</cdr:y>
    </cdr:from>
    <cdr:to>
      <cdr:x>0.7293</cdr:x>
      <cdr:y>0.11156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80FB6FF8-4567-43E0-91B0-E593A4B7249E}"/>
            </a:ext>
          </a:extLst>
        </cdr:cNvPr>
        <cdr:cNvSpPr txBox="1"/>
      </cdr:nvSpPr>
      <cdr:spPr>
        <a:xfrm xmlns:a="http://schemas.openxmlformats.org/drawingml/2006/main">
          <a:off x="4308257" y="175986"/>
          <a:ext cx="355651" cy="269815"/>
        </a:xfrm>
        <a:prstGeom xmlns:a="http://schemas.openxmlformats.org/drawingml/2006/main" prst="rect">
          <a:avLst/>
        </a:prstGeom>
        <a:solidFill xmlns:a="http://schemas.openxmlformats.org/drawingml/2006/main">
          <a:srgbClr val="92D050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2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 sz="1100"/>
            <a:t>Δ</a:t>
          </a:r>
          <a:r>
            <a:rPr lang="en-US" sz="1100"/>
            <a:t>V2</a:t>
          </a:r>
          <a:endParaRPr lang="bg-BG" sz="1100"/>
        </a:p>
      </cdr:txBody>
    </cdr:sp>
  </cdr:relSizeAnchor>
  <cdr:relSizeAnchor xmlns:cdr="http://schemas.openxmlformats.org/drawingml/2006/chartDrawing">
    <cdr:from>
      <cdr:x>0.62628</cdr:x>
      <cdr:y>0.04595</cdr:y>
    </cdr:from>
    <cdr:to>
      <cdr:x>0.66488</cdr:x>
      <cdr:y>0.11156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2338C621-29E3-421B-B1E6-D9DEDA81EF09}"/>
            </a:ext>
          </a:extLst>
        </cdr:cNvPr>
        <cdr:cNvSpPr txBox="1"/>
      </cdr:nvSpPr>
      <cdr:spPr>
        <a:xfrm xmlns:a="http://schemas.openxmlformats.org/drawingml/2006/main">
          <a:off x="4005109" y="183622"/>
          <a:ext cx="246836" cy="262179"/>
        </a:xfrm>
        <a:prstGeom xmlns:a="http://schemas.openxmlformats.org/drawingml/2006/main" prst="rect">
          <a:avLst/>
        </a:prstGeom>
        <a:solidFill xmlns:a="http://schemas.openxmlformats.org/drawingml/2006/main">
          <a:srgbClr val="33CCFF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2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u2</a:t>
          </a:r>
          <a:endParaRPr lang="bg-BG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0.07865</cdr:x>
      <cdr:y>0.04918</cdr:y>
    </cdr:from>
    <cdr:to>
      <cdr:x>0.11662</cdr:x>
      <cdr:y>0.11349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52872" y="196576"/>
          <a:ext cx="266882" cy="257062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2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ysClr val="windowText" lastClr="000000"/>
              </a:solidFill>
            </a:rPr>
            <a:t>V1</a:t>
          </a:r>
          <a:endParaRPr lang="bg-BG" sz="11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0.13136</cdr:x>
      <cdr:y>0.04626</cdr:y>
    </cdr:from>
    <cdr:to>
      <cdr:x>0.16667</cdr:x>
      <cdr:y>0.11559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923409" y="184923"/>
          <a:ext cx="248209" cy="27712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2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u1</a:t>
          </a:r>
          <a:endParaRPr lang="bg-BG" sz="1100"/>
        </a:p>
      </cdr:txBody>
    </cdr:sp>
  </cdr:relSizeAnchor>
  <cdr:relSizeAnchor xmlns:cdr="http://schemas.openxmlformats.org/drawingml/2006/chartDrawing">
    <cdr:from>
      <cdr:x>0.17497</cdr:x>
      <cdr:y>0.049</cdr:y>
    </cdr:from>
    <cdr:to>
      <cdr:x>0.22528</cdr:x>
      <cdr:y>0.1219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1229962" y="195879"/>
          <a:ext cx="353645" cy="291381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 sz="1100"/>
            <a:t>Δ</a:t>
          </a:r>
          <a:r>
            <a:rPr lang="en-US" sz="1100"/>
            <a:t>V1</a:t>
          </a:r>
          <a:endParaRPr lang="bg-BG" sz="1100"/>
        </a:p>
      </cdr:txBody>
    </cdr:sp>
  </cdr:relSizeAnchor>
  <cdr:relSizeAnchor xmlns:cdr="http://schemas.openxmlformats.org/drawingml/2006/chartDrawing">
    <cdr:from>
      <cdr:x>0.62211</cdr:x>
      <cdr:y>0.04793</cdr:y>
    </cdr:from>
    <cdr:to>
      <cdr:x>0.65742</cdr:x>
      <cdr:y>0.1149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373046" y="191594"/>
          <a:ext cx="248208" cy="267696"/>
        </a:xfrm>
        <a:prstGeom xmlns:a="http://schemas.openxmlformats.org/drawingml/2006/main" prst="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2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V2</a:t>
          </a:r>
          <a:endParaRPr lang="bg-BG" sz="1100"/>
        </a:p>
      </cdr:txBody>
    </cdr:sp>
  </cdr:relSizeAnchor>
  <cdr:relSizeAnchor xmlns:cdr="http://schemas.openxmlformats.org/drawingml/2006/chartDrawing">
    <cdr:from>
      <cdr:x>0.716</cdr:x>
      <cdr:y>0.04735</cdr:y>
    </cdr:from>
    <cdr:to>
      <cdr:x>0.76688</cdr:x>
      <cdr:y>0.1149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5033074" y="189275"/>
          <a:ext cx="357629" cy="270015"/>
        </a:xfrm>
        <a:prstGeom xmlns:a="http://schemas.openxmlformats.org/drawingml/2006/main" prst="rect">
          <a:avLst/>
        </a:prstGeom>
        <a:solidFill xmlns:a="http://schemas.openxmlformats.org/drawingml/2006/main">
          <a:srgbClr val="92D050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2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 sz="1100"/>
            <a:t>Δ</a:t>
          </a:r>
          <a:r>
            <a:rPr lang="en-US" sz="1100"/>
            <a:t>V2</a:t>
          </a:r>
          <a:endParaRPr lang="bg-BG" sz="1100"/>
        </a:p>
      </cdr:txBody>
    </cdr:sp>
  </cdr:relSizeAnchor>
  <cdr:relSizeAnchor xmlns:cdr="http://schemas.openxmlformats.org/drawingml/2006/chartDrawing">
    <cdr:from>
      <cdr:x>0.67264</cdr:x>
      <cdr:y>0.04926</cdr:y>
    </cdr:from>
    <cdr:to>
      <cdr:x>0.70795</cdr:x>
      <cdr:y>0.1149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728240" y="196917"/>
          <a:ext cx="248209" cy="262373"/>
        </a:xfrm>
        <a:prstGeom xmlns:a="http://schemas.openxmlformats.org/drawingml/2006/main" prst="rect">
          <a:avLst/>
        </a:prstGeom>
        <a:solidFill xmlns:a="http://schemas.openxmlformats.org/drawingml/2006/main">
          <a:srgbClr val="33CCFF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2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u2</a:t>
          </a:r>
          <a:endParaRPr lang="bg-BG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258</xdr:row>
          <xdr:rowOff>144780</xdr:rowOff>
        </xdr:from>
        <xdr:to>
          <xdr:col>4</xdr:col>
          <xdr:colOff>304800</xdr:colOff>
          <xdr:row>260</xdr:row>
          <xdr:rowOff>182880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3</xdr:row>
          <xdr:rowOff>137160</xdr:rowOff>
        </xdr:from>
        <xdr:to>
          <xdr:col>6</xdr:col>
          <xdr:colOff>114300</xdr:colOff>
          <xdr:row>5</xdr:row>
          <xdr:rowOff>38100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</xdr:colOff>
          <xdr:row>32</xdr:row>
          <xdr:rowOff>76200</xdr:rowOff>
        </xdr:from>
        <xdr:to>
          <xdr:col>6</xdr:col>
          <xdr:colOff>259080</xdr:colOff>
          <xdr:row>33</xdr:row>
          <xdr:rowOff>175260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9</xdr:row>
          <xdr:rowOff>99060</xdr:rowOff>
        </xdr:from>
        <xdr:to>
          <xdr:col>5</xdr:col>
          <xdr:colOff>60960</xdr:colOff>
          <xdr:row>10</xdr:row>
          <xdr:rowOff>144780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38</xdr:row>
          <xdr:rowOff>76200</xdr:rowOff>
        </xdr:from>
        <xdr:to>
          <xdr:col>4</xdr:col>
          <xdr:colOff>403860</xdr:colOff>
          <xdr:row>39</xdr:row>
          <xdr:rowOff>99060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61</xdr:row>
          <xdr:rowOff>99060</xdr:rowOff>
        </xdr:from>
        <xdr:to>
          <xdr:col>6</xdr:col>
          <xdr:colOff>99060</xdr:colOff>
          <xdr:row>63</xdr:row>
          <xdr:rowOff>182880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82</xdr:row>
          <xdr:rowOff>152400</xdr:rowOff>
        </xdr:from>
        <xdr:to>
          <xdr:col>6</xdr:col>
          <xdr:colOff>350520</xdr:colOff>
          <xdr:row>85</xdr:row>
          <xdr:rowOff>45720</xdr:rowOff>
        </xdr:to>
        <xdr:sp macro="" textlink="">
          <xdr:nvSpPr>
            <xdr:cNvPr id="2056" name="Object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99060</xdr:colOff>
          <xdr:row>202</xdr:row>
          <xdr:rowOff>152400</xdr:rowOff>
        </xdr:from>
        <xdr:to>
          <xdr:col>5</xdr:col>
          <xdr:colOff>251460</xdr:colOff>
          <xdr:row>204</xdr:row>
          <xdr:rowOff>76200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229</xdr:row>
          <xdr:rowOff>22860</xdr:rowOff>
        </xdr:from>
        <xdr:to>
          <xdr:col>5</xdr:col>
          <xdr:colOff>251460</xdr:colOff>
          <xdr:row>230</xdr:row>
          <xdr:rowOff>137160</xdr:rowOff>
        </xdr:to>
        <xdr:sp macro="" textlink="">
          <xdr:nvSpPr>
            <xdr:cNvPr id="2058" name="Object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283</xdr:row>
          <xdr:rowOff>38100</xdr:rowOff>
        </xdr:from>
        <xdr:to>
          <xdr:col>4</xdr:col>
          <xdr:colOff>335280</xdr:colOff>
          <xdr:row>285</xdr:row>
          <xdr:rowOff>83820</xdr:rowOff>
        </xdr:to>
        <xdr:sp macro="" textlink="">
          <xdr:nvSpPr>
            <xdr:cNvPr id="2071" name="Object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310</xdr:row>
          <xdr:rowOff>175260</xdr:rowOff>
        </xdr:from>
        <xdr:to>
          <xdr:col>5</xdr:col>
          <xdr:colOff>160020</xdr:colOff>
          <xdr:row>313</xdr:row>
          <xdr:rowOff>22860</xdr:rowOff>
        </xdr:to>
        <xdr:sp macro="" textlink="">
          <xdr:nvSpPr>
            <xdr:cNvPr id="2072" name="Object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99060</xdr:colOff>
          <xdr:row>338</xdr:row>
          <xdr:rowOff>0</xdr:rowOff>
        </xdr:from>
        <xdr:to>
          <xdr:col>4</xdr:col>
          <xdr:colOff>274320</xdr:colOff>
          <xdr:row>340</xdr:row>
          <xdr:rowOff>30480</xdr:rowOff>
        </xdr:to>
        <xdr:sp macro="" textlink="">
          <xdr:nvSpPr>
            <xdr:cNvPr id="2074" name="Object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368</xdr:row>
          <xdr:rowOff>45720</xdr:rowOff>
        </xdr:from>
        <xdr:to>
          <xdr:col>4</xdr:col>
          <xdr:colOff>99060</xdr:colOff>
          <xdr:row>369</xdr:row>
          <xdr:rowOff>83820</xdr:rowOff>
        </xdr:to>
        <xdr:sp macro="" textlink="">
          <xdr:nvSpPr>
            <xdr:cNvPr id="2075" name="Object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394</xdr:row>
          <xdr:rowOff>22860</xdr:rowOff>
        </xdr:from>
        <xdr:to>
          <xdr:col>4</xdr:col>
          <xdr:colOff>137160</xdr:colOff>
          <xdr:row>395</xdr:row>
          <xdr:rowOff>60960</xdr:rowOff>
        </xdr:to>
        <xdr:sp macro="" textlink="">
          <xdr:nvSpPr>
            <xdr:cNvPr id="2076" name="Object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</xdr:colOff>
          <xdr:row>421</xdr:row>
          <xdr:rowOff>99060</xdr:rowOff>
        </xdr:from>
        <xdr:to>
          <xdr:col>8</xdr:col>
          <xdr:colOff>342900</xdr:colOff>
          <xdr:row>423</xdr:row>
          <xdr:rowOff>0</xdr:rowOff>
        </xdr:to>
        <xdr:sp macro="" textlink="">
          <xdr:nvSpPr>
            <xdr:cNvPr id="2077" name="Object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</xdr:colOff>
          <xdr:row>447</xdr:row>
          <xdr:rowOff>137160</xdr:rowOff>
        </xdr:from>
        <xdr:to>
          <xdr:col>9</xdr:col>
          <xdr:colOff>22860</xdr:colOff>
          <xdr:row>449</xdr:row>
          <xdr:rowOff>60960</xdr:rowOff>
        </xdr:to>
        <xdr:sp macro="" textlink="">
          <xdr:nvSpPr>
            <xdr:cNvPr id="2078" name="Object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283</xdr:row>
          <xdr:rowOff>144780</xdr:rowOff>
        </xdr:from>
        <xdr:to>
          <xdr:col>4</xdr:col>
          <xdr:colOff>83820</xdr:colOff>
          <xdr:row>285</xdr:row>
          <xdr:rowOff>182880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</xdr:colOff>
          <xdr:row>31</xdr:row>
          <xdr:rowOff>137160</xdr:rowOff>
        </xdr:from>
        <xdr:to>
          <xdr:col>5</xdr:col>
          <xdr:colOff>457200</xdr:colOff>
          <xdr:row>33</xdr:row>
          <xdr:rowOff>45720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9</xdr:row>
          <xdr:rowOff>99060</xdr:rowOff>
        </xdr:from>
        <xdr:to>
          <xdr:col>5</xdr:col>
          <xdr:colOff>213360</xdr:colOff>
          <xdr:row>10</xdr:row>
          <xdr:rowOff>137160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60960</xdr:colOff>
          <xdr:row>37</xdr:row>
          <xdr:rowOff>68580</xdr:rowOff>
        </xdr:from>
        <xdr:to>
          <xdr:col>4</xdr:col>
          <xdr:colOff>160020</xdr:colOff>
          <xdr:row>38</xdr:row>
          <xdr:rowOff>144780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137160</xdr:colOff>
          <xdr:row>229</xdr:row>
          <xdr:rowOff>152400</xdr:rowOff>
        </xdr:from>
        <xdr:to>
          <xdr:col>4</xdr:col>
          <xdr:colOff>480060</xdr:colOff>
          <xdr:row>231</xdr:row>
          <xdr:rowOff>76200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255</xdr:row>
          <xdr:rowOff>22860</xdr:rowOff>
        </xdr:from>
        <xdr:to>
          <xdr:col>4</xdr:col>
          <xdr:colOff>441960</xdr:colOff>
          <xdr:row>256</xdr:row>
          <xdr:rowOff>144780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307</xdr:row>
          <xdr:rowOff>38100</xdr:rowOff>
        </xdr:from>
        <xdr:to>
          <xdr:col>4</xdr:col>
          <xdr:colOff>114300</xdr:colOff>
          <xdr:row>309</xdr:row>
          <xdr:rowOff>83820</xdr:rowOff>
        </xdr:to>
        <xdr:sp macro="" textlink="">
          <xdr:nvSpPr>
            <xdr:cNvPr id="3084" name="Object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68580</xdr:colOff>
          <xdr:row>333</xdr:row>
          <xdr:rowOff>7620</xdr:rowOff>
        </xdr:from>
        <xdr:to>
          <xdr:col>4</xdr:col>
          <xdr:colOff>457200</xdr:colOff>
          <xdr:row>335</xdr:row>
          <xdr:rowOff>38100</xdr:rowOff>
        </xdr:to>
        <xdr:sp macro="" textlink="">
          <xdr:nvSpPr>
            <xdr:cNvPr id="3085" name="Object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357</xdr:row>
          <xdr:rowOff>220980</xdr:rowOff>
        </xdr:from>
        <xdr:to>
          <xdr:col>3</xdr:col>
          <xdr:colOff>830580</xdr:colOff>
          <xdr:row>360</xdr:row>
          <xdr:rowOff>22860</xdr:rowOff>
        </xdr:to>
        <xdr:sp macro="" textlink="">
          <xdr:nvSpPr>
            <xdr:cNvPr id="3086" name="Object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</xdr:colOff>
          <xdr:row>387</xdr:row>
          <xdr:rowOff>45720</xdr:rowOff>
        </xdr:from>
        <xdr:to>
          <xdr:col>3</xdr:col>
          <xdr:colOff>594360</xdr:colOff>
          <xdr:row>388</xdr:row>
          <xdr:rowOff>83820</xdr:rowOff>
        </xdr:to>
        <xdr:sp macro="" textlink="">
          <xdr:nvSpPr>
            <xdr:cNvPr id="3087" name="Object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99060</xdr:colOff>
          <xdr:row>411</xdr:row>
          <xdr:rowOff>213360</xdr:rowOff>
        </xdr:from>
        <xdr:to>
          <xdr:col>3</xdr:col>
          <xdr:colOff>670560</xdr:colOff>
          <xdr:row>413</xdr:row>
          <xdr:rowOff>22860</xdr:rowOff>
        </xdr:to>
        <xdr:sp macro="" textlink="">
          <xdr:nvSpPr>
            <xdr:cNvPr id="3088" name="Object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</xdr:colOff>
          <xdr:row>436</xdr:row>
          <xdr:rowOff>99060</xdr:rowOff>
        </xdr:from>
        <xdr:to>
          <xdr:col>7</xdr:col>
          <xdr:colOff>312420</xdr:colOff>
          <xdr:row>438</xdr:row>
          <xdr:rowOff>0</xdr:rowOff>
        </xdr:to>
        <xdr:sp macro="" textlink="">
          <xdr:nvSpPr>
            <xdr:cNvPr id="3089" name="Object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</xdr:colOff>
          <xdr:row>461</xdr:row>
          <xdr:rowOff>137160</xdr:rowOff>
        </xdr:from>
        <xdr:to>
          <xdr:col>8</xdr:col>
          <xdr:colOff>22860</xdr:colOff>
          <xdr:row>463</xdr:row>
          <xdr:rowOff>60960</xdr:rowOff>
        </xdr:to>
        <xdr:sp macro="" textlink="">
          <xdr:nvSpPr>
            <xdr:cNvPr id="3090" name="Object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68</xdr:row>
          <xdr:rowOff>99060</xdr:rowOff>
        </xdr:from>
        <xdr:to>
          <xdr:col>3</xdr:col>
          <xdr:colOff>464820</xdr:colOff>
          <xdr:row>69</xdr:row>
          <xdr:rowOff>144780</xdr:rowOff>
        </xdr:to>
        <xdr:sp macro="" textlink="">
          <xdr:nvSpPr>
            <xdr:cNvPr id="3091" name="Object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69</xdr:row>
          <xdr:rowOff>175260</xdr:rowOff>
        </xdr:from>
        <xdr:to>
          <xdr:col>3</xdr:col>
          <xdr:colOff>464820</xdr:colOff>
          <xdr:row>71</xdr:row>
          <xdr:rowOff>30480</xdr:rowOff>
        </xdr:to>
        <xdr:sp macro="" textlink="">
          <xdr:nvSpPr>
            <xdr:cNvPr id="3092" name="Object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71</xdr:row>
          <xdr:rowOff>114300</xdr:rowOff>
        </xdr:from>
        <xdr:to>
          <xdr:col>4</xdr:col>
          <xdr:colOff>45720</xdr:colOff>
          <xdr:row>72</xdr:row>
          <xdr:rowOff>152400</xdr:rowOff>
        </xdr:to>
        <xdr:sp macro="" textlink="">
          <xdr:nvSpPr>
            <xdr:cNvPr id="3093" name="Object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73</xdr:row>
          <xdr:rowOff>68580</xdr:rowOff>
        </xdr:from>
        <xdr:to>
          <xdr:col>4</xdr:col>
          <xdr:colOff>60960</xdr:colOff>
          <xdr:row>74</xdr:row>
          <xdr:rowOff>137160</xdr:rowOff>
        </xdr:to>
        <xdr:sp macro="" textlink="">
          <xdr:nvSpPr>
            <xdr:cNvPr id="3094" name="Object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74</xdr:row>
          <xdr:rowOff>190500</xdr:rowOff>
        </xdr:from>
        <xdr:to>
          <xdr:col>5</xdr:col>
          <xdr:colOff>114300</xdr:colOff>
          <xdr:row>76</xdr:row>
          <xdr:rowOff>22860</xdr:rowOff>
        </xdr:to>
        <xdr:sp macro="" textlink="">
          <xdr:nvSpPr>
            <xdr:cNvPr id="3095" name="Object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274320</xdr:colOff>
          <xdr:row>76</xdr:row>
          <xdr:rowOff>137160</xdr:rowOff>
        </xdr:from>
        <xdr:to>
          <xdr:col>6</xdr:col>
          <xdr:colOff>274320</xdr:colOff>
          <xdr:row>78</xdr:row>
          <xdr:rowOff>121920</xdr:rowOff>
        </xdr:to>
        <xdr:sp macro="" textlink="">
          <xdr:nvSpPr>
            <xdr:cNvPr id="3096" name="Object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60960</xdr:colOff>
          <xdr:row>59</xdr:row>
          <xdr:rowOff>68580</xdr:rowOff>
        </xdr:from>
        <xdr:to>
          <xdr:col>3</xdr:col>
          <xdr:colOff>259080</xdr:colOff>
          <xdr:row>62</xdr:row>
          <xdr:rowOff>30480</xdr:rowOff>
        </xdr:to>
        <xdr:sp macro="" textlink="">
          <xdr:nvSpPr>
            <xdr:cNvPr id="3097" name="Object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</xdr:colOff>
          <xdr:row>63</xdr:row>
          <xdr:rowOff>45720</xdr:rowOff>
        </xdr:from>
        <xdr:to>
          <xdr:col>3</xdr:col>
          <xdr:colOff>403860</xdr:colOff>
          <xdr:row>66</xdr:row>
          <xdr:rowOff>22860</xdr:rowOff>
        </xdr:to>
        <xdr:sp macro="" textlink="">
          <xdr:nvSpPr>
            <xdr:cNvPr id="3098" name="Object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30480</xdr:colOff>
          <xdr:row>3</xdr:row>
          <xdr:rowOff>144780</xdr:rowOff>
        </xdr:from>
        <xdr:to>
          <xdr:col>5</xdr:col>
          <xdr:colOff>152400</xdr:colOff>
          <xdr:row>5</xdr:row>
          <xdr:rowOff>60960</xdr:rowOff>
        </xdr:to>
        <xdr:sp macro="" textlink="">
          <xdr:nvSpPr>
            <xdr:cNvPr id="3100" name="Object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5.bin"/><Relationship Id="rId39" Type="http://schemas.openxmlformats.org/officeDocument/2006/relationships/oleObject" Target="../embeddings/oleObject22.bin"/><Relationship Id="rId21" Type="http://schemas.openxmlformats.org/officeDocument/2006/relationships/oleObject" Target="../embeddings/oleObject10.bin"/><Relationship Id="rId34" Type="http://schemas.openxmlformats.org/officeDocument/2006/relationships/image" Target="../media/image12.emf"/><Relationship Id="rId42" Type="http://schemas.openxmlformats.org/officeDocument/2006/relationships/image" Target="../media/image16.emf"/><Relationship Id="rId47" Type="http://schemas.openxmlformats.org/officeDocument/2006/relationships/ctrlProp" Target="../ctrlProps/ctrlProp4.xml"/><Relationship Id="rId50" Type="http://schemas.openxmlformats.org/officeDocument/2006/relationships/comments" Target="../comments1.x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9" Type="http://schemas.openxmlformats.org/officeDocument/2006/relationships/oleObject" Target="../embeddings/oleObject17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3.bin"/><Relationship Id="rId32" Type="http://schemas.openxmlformats.org/officeDocument/2006/relationships/image" Target="../media/image11.emf"/><Relationship Id="rId37" Type="http://schemas.openxmlformats.org/officeDocument/2006/relationships/oleObject" Target="../embeddings/oleObject21.bin"/><Relationship Id="rId40" Type="http://schemas.openxmlformats.org/officeDocument/2006/relationships/image" Target="../media/image15.emf"/><Relationship Id="rId45" Type="http://schemas.openxmlformats.org/officeDocument/2006/relationships/ctrlProp" Target="../ctrlProps/ctrlProp2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oleObject" Target="../embeddings/oleObject12.bin"/><Relationship Id="rId28" Type="http://schemas.openxmlformats.org/officeDocument/2006/relationships/image" Target="../media/image9.emf"/><Relationship Id="rId36" Type="http://schemas.openxmlformats.org/officeDocument/2006/relationships/image" Target="../media/image13.emf"/><Relationship Id="rId49" Type="http://schemas.openxmlformats.org/officeDocument/2006/relationships/ctrlProp" Target="../ctrlProps/ctrlProp6.xml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oleObject" Target="../embeddings/oleObject18.bin"/><Relationship Id="rId44" Type="http://schemas.openxmlformats.org/officeDocument/2006/relationships/ctrlProp" Target="../ctrlProps/ctrlProp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1.bin"/><Relationship Id="rId27" Type="http://schemas.openxmlformats.org/officeDocument/2006/relationships/oleObject" Target="../embeddings/oleObject16.bin"/><Relationship Id="rId30" Type="http://schemas.openxmlformats.org/officeDocument/2006/relationships/image" Target="../media/image10.emf"/><Relationship Id="rId35" Type="http://schemas.openxmlformats.org/officeDocument/2006/relationships/oleObject" Target="../embeddings/oleObject20.bin"/><Relationship Id="rId43" Type="http://schemas.openxmlformats.org/officeDocument/2006/relationships/oleObject" Target="../embeddings/oleObject24.bin"/><Relationship Id="rId48" Type="http://schemas.openxmlformats.org/officeDocument/2006/relationships/ctrlProp" Target="../ctrlProps/ctrlProp5.xml"/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oleObject" Target="../embeddings/oleObject14.bin"/><Relationship Id="rId33" Type="http://schemas.openxmlformats.org/officeDocument/2006/relationships/oleObject" Target="../embeddings/oleObject19.bin"/><Relationship Id="rId38" Type="http://schemas.openxmlformats.org/officeDocument/2006/relationships/image" Target="../media/image14.emf"/><Relationship Id="rId46" Type="http://schemas.openxmlformats.org/officeDocument/2006/relationships/ctrlProp" Target="../ctrlProps/ctrlProp3.xml"/><Relationship Id="rId20" Type="http://schemas.openxmlformats.org/officeDocument/2006/relationships/oleObject" Target="../embeddings/oleObject9.bin"/><Relationship Id="rId41" Type="http://schemas.openxmlformats.org/officeDocument/2006/relationships/oleObject" Target="../embeddings/oleObject23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30.bin"/><Relationship Id="rId18" Type="http://schemas.openxmlformats.org/officeDocument/2006/relationships/image" Target="../media/image25.emf"/><Relationship Id="rId26" Type="http://schemas.openxmlformats.org/officeDocument/2006/relationships/image" Target="../media/image29.emf"/><Relationship Id="rId3" Type="http://schemas.openxmlformats.org/officeDocument/2006/relationships/vmlDrawing" Target="../drawings/vmlDrawing2.vml"/><Relationship Id="rId21" Type="http://schemas.openxmlformats.org/officeDocument/2006/relationships/oleObject" Target="../embeddings/oleObject34.bin"/><Relationship Id="rId34" Type="http://schemas.openxmlformats.org/officeDocument/2006/relationships/image" Target="../media/image33.emf"/><Relationship Id="rId7" Type="http://schemas.openxmlformats.org/officeDocument/2006/relationships/oleObject" Target="../embeddings/oleObject27.bin"/><Relationship Id="rId12" Type="http://schemas.openxmlformats.org/officeDocument/2006/relationships/image" Target="../media/image22.emf"/><Relationship Id="rId17" Type="http://schemas.openxmlformats.org/officeDocument/2006/relationships/oleObject" Target="../embeddings/oleObject32.bin"/><Relationship Id="rId25" Type="http://schemas.openxmlformats.org/officeDocument/2006/relationships/oleObject" Target="../embeddings/oleObject36.bin"/><Relationship Id="rId33" Type="http://schemas.openxmlformats.org/officeDocument/2006/relationships/oleObject" Target="../embeddings/oleObject40.bin"/><Relationship Id="rId2" Type="http://schemas.openxmlformats.org/officeDocument/2006/relationships/drawing" Target="../drawings/drawing4.xml"/><Relationship Id="rId16" Type="http://schemas.openxmlformats.org/officeDocument/2006/relationships/image" Target="../media/image24.emf"/><Relationship Id="rId20" Type="http://schemas.openxmlformats.org/officeDocument/2006/relationships/image" Target="../media/image26.emf"/><Relationship Id="rId29" Type="http://schemas.openxmlformats.org/officeDocument/2006/relationships/oleObject" Target="../embeddings/oleObject38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6.bin"/><Relationship Id="rId11" Type="http://schemas.openxmlformats.org/officeDocument/2006/relationships/oleObject" Target="../embeddings/oleObject29.bin"/><Relationship Id="rId24" Type="http://schemas.openxmlformats.org/officeDocument/2006/relationships/image" Target="../media/image28.emf"/><Relationship Id="rId32" Type="http://schemas.openxmlformats.org/officeDocument/2006/relationships/image" Target="../media/image32.emf"/><Relationship Id="rId5" Type="http://schemas.openxmlformats.org/officeDocument/2006/relationships/image" Target="../media/image19.emf"/><Relationship Id="rId15" Type="http://schemas.openxmlformats.org/officeDocument/2006/relationships/oleObject" Target="../embeddings/oleObject31.bin"/><Relationship Id="rId23" Type="http://schemas.openxmlformats.org/officeDocument/2006/relationships/oleObject" Target="../embeddings/oleObject35.bin"/><Relationship Id="rId28" Type="http://schemas.openxmlformats.org/officeDocument/2006/relationships/image" Target="../media/image30.emf"/><Relationship Id="rId10" Type="http://schemas.openxmlformats.org/officeDocument/2006/relationships/image" Target="../media/image21.emf"/><Relationship Id="rId19" Type="http://schemas.openxmlformats.org/officeDocument/2006/relationships/oleObject" Target="../embeddings/oleObject33.bin"/><Relationship Id="rId31" Type="http://schemas.openxmlformats.org/officeDocument/2006/relationships/oleObject" Target="../embeddings/oleObject39.bin"/><Relationship Id="rId4" Type="http://schemas.openxmlformats.org/officeDocument/2006/relationships/oleObject" Target="../embeddings/oleObject25.bin"/><Relationship Id="rId9" Type="http://schemas.openxmlformats.org/officeDocument/2006/relationships/oleObject" Target="../embeddings/oleObject28.bin"/><Relationship Id="rId14" Type="http://schemas.openxmlformats.org/officeDocument/2006/relationships/image" Target="../media/image23.emf"/><Relationship Id="rId22" Type="http://schemas.openxmlformats.org/officeDocument/2006/relationships/image" Target="../media/image27.emf"/><Relationship Id="rId27" Type="http://schemas.openxmlformats.org/officeDocument/2006/relationships/oleObject" Target="../embeddings/oleObject37.bin"/><Relationship Id="rId30" Type="http://schemas.openxmlformats.org/officeDocument/2006/relationships/image" Target="../media/image31.emf"/><Relationship Id="rId35" Type="http://schemas.openxmlformats.org/officeDocument/2006/relationships/comments" Target="../comments2.xml"/><Relationship Id="rId8" Type="http://schemas.openxmlformats.org/officeDocument/2006/relationships/image" Target="../media/image20.emf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46.bin"/><Relationship Id="rId18" Type="http://schemas.openxmlformats.org/officeDocument/2006/relationships/oleObject" Target="../embeddings/oleObject49.bin"/><Relationship Id="rId26" Type="http://schemas.openxmlformats.org/officeDocument/2006/relationships/oleObject" Target="../embeddings/oleObject53.bin"/><Relationship Id="rId39" Type="http://schemas.openxmlformats.org/officeDocument/2006/relationships/image" Target="../media/image14.emf"/><Relationship Id="rId21" Type="http://schemas.openxmlformats.org/officeDocument/2006/relationships/image" Target="../media/image22.emf"/><Relationship Id="rId34" Type="http://schemas.openxmlformats.org/officeDocument/2006/relationships/oleObject" Target="../embeddings/oleObject57.bin"/><Relationship Id="rId42" Type="http://schemas.openxmlformats.org/officeDocument/2006/relationships/oleObject" Target="../embeddings/oleObject61.bin"/><Relationship Id="rId7" Type="http://schemas.openxmlformats.org/officeDocument/2006/relationships/oleObject" Target="../embeddings/oleObject43.bin"/><Relationship Id="rId2" Type="http://schemas.openxmlformats.org/officeDocument/2006/relationships/vmlDrawing" Target="../drawings/vmlDrawing3.vml"/><Relationship Id="rId16" Type="http://schemas.openxmlformats.org/officeDocument/2006/relationships/oleObject" Target="../embeddings/oleObject48.bin"/><Relationship Id="rId29" Type="http://schemas.openxmlformats.org/officeDocument/2006/relationships/image" Target="../media/image36.emf"/><Relationship Id="rId1" Type="http://schemas.openxmlformats.org/officeDocument/2006/relationships/drawing" Target="../drawings/drawing5.xml"/><Relationship Id="rId6" Type="http://schemas.openxmlformats.org/officeDocument/2006/relationships/image" Target="../media/image28.emf"/><Relationship Id="rId11" Type="http://schemas.openxmlformats.org/officeDocument/2006/relationships/oleObject" Target="../embeddings/oleObject45.bin"/><Relationship Id="rId24" Type="http://schemas.openxmlformats.org/officeDocument/2006/relationships/oleObject" Target="../embeddings/oleObject52.bin"/><Relationship Id="rId32" Type="http://schemas.openxmlformats.org/officeDocument/2006/relationships/oleObject" Target="../embeddings/oleObject56.bin"/><Relationship Id="rId37" Type="http://schemas.openxmlformats.org/officeDocument/2006/relationships/image" Target="../media/image13.emf"/><Relationship Id="rId40" Type="http://schemas.openxmlformats.org/officeDocument/2006/relationships/oleObject" Target="../embeddings/oleObject60.bin"/><Relationship Id="rId45" Type="http://schemas.openxmlformats.org/officeDocument/2006/relationships/image" Target="../media/image27.emf"/><Relationship Id="rId5" Type="http://schemas.openxmlformats.org/officeDocument/2006/relationships/oleObject" Target="../embeddings/oleObject42.bin"/><Relationship Id="rId15" Type="http://schemas.openxmlformats.org/officeDocument/2006/relationships/oleObject" Target="../embeddings/oleObject47.bin"/><Relationship Id="rId23" Type="http://schemas.openxmlformats.org/officeDocument/2006/relationships/image" Target="../media/image23.emf"/><Relationship Id="rId28" Type="http://schemas.openxmlformats.org/officeDocument/2006/relationships/oleObject" Target="../embeddings/oleObject54.bin"/><Relationship Id="rId36" Type="http://schemas.openxmlformats.org/officeDocument/2006/relationships/oleObject" Target="../embeddings/oleObject58.bin"/><Relationship Id="rId10" Type="http://schemas.openxmlformats.org/officeDocument/2006/relationships/image" Target="../media/image34.emf"/><Relationship Id="rId19" Type="http://schemas.openxmlformats.org/officeDocument/2006/relationships/image" Target="../media/image21.emf"/><Relationship Id="rId31" Type="http://schemas.openxmlformats.org/officeDocument/2006/relationships/image" Target="../media/image37.emf"/><Relationship Id="rId44" Type="http://schemas.openxmlformats.org/officeDocument/2006/relationships/oleObject" Target="../embeddings/oleObject62.bin"/><Relationship Id="rId4" Type="http://schemas.openxmlformats.org/officeDocument/2006/relationships/image" Target="../media/image19.emf"/><Relationship Id="rId9" Type="http://schemas.openxmlformats.org/officeDocument/2006/relationships/oleObject" Target="../embeddings/oleObject44.bin"/><Relationship Id="rId14" Type="http://schemas.openxmlformats.org/officeDocument/2006/relationships/image" Target="../media/image26.emf"/><Relationship Id="rId22" Type="http://schemas.openxmlformats.org/officeDocument/2006/relationships/oleObject" Target="../embeddings/oleObject51.bin"/><Relationship Id="rId27" Type="http://schemas.openxmlformats.org/officeDocument/2006/relationships/image" Target="../media/image25.emf"/><Relationship Id="rId30" Type="http://schemas.openxmlformats.org/officeDocument/2006/relationships/oleObject" Target="../embeddings/oleObject55.bin"/><Relationship Id="rId35" Type="http://schemas.openxmlformats.org/officeDocument/2006/relationships/image" Target="../media/image39.emf"/><Relationship Id="rId43" Type="http://schemas.openxmlformats.org/officeDocument/2006/relationships/image" Target="../media/image41.emf"/><Relationship Id="rId8" Type="http://schemas.openxmlformats.org/officeDocument/2006/relationships/image" Target="../media/image29.emf"/><Relationship Id="rId3" Type="http://schemas.openxmlformats.org/officeDocument/2006/relationships/oleObject" Target="../embeddings/oleObject41.bin"/><Relationship Id="rId12" Type="http://schemas.openxmlformats.org/officeDocument/2006/relationships/image" Target="../media/image33.emf"/><Relationship Id="rId17" Type="http://schemas.openxmlformats.org/officeDocument/2006/relationships/image" Target="../media/image35.emf"/><Relationship Id="rId25" Type="http://schemas.openxmlformats.org/officeDocument/2006/relationships/image" Target="../media/image24.emf"/><Relationship Id="rId33" Type="http://schemas.openxmlformats.org/officeDocument/2006/relationships/image" Target="../media/image38.emf"/><Relationship Id="rId38" Type="http://schemas.openxmlformats.org/officeDocument/2006/relationships/oleObject" Target="../embeddings/oleObject59.bin"/><Relationship Id="rId46" Type="http://schemas.openxmlformats.org/officeDocument/2006/relationships/comments" Target="../comments3.xml"/><Relationship Id="rId20" Type="http://schemas.openxmlformats.org/officeDocument/2006/relationships/oleObject" Target="../embeddings/oleObject50.bin"/><Relationship Id="rId41" Type="http://schemas.openxmlformats.org/officeDocument/2006/relationships/image" Target="../media/image40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52"/>
  <sheetViews>
    <sheetView tabSelected="1" zoomScale="70" zoomScaleNormal="70" workbookViewId="0"/>
  </sheetViews>
  <sheetFormatPr defaultColWidth="9.109375" defaultRowHeight="15.6" x14ac:dyDescent="0.3"/>
  <cols>
    <col min="1" max="1" width="18.6640625" style="49" customWidth="1"/>
    <col min="2" max="2" width="24.6640625" style="49" customWidth="1"/>
    <col min="3" max="3" width="24.33203125" style="49" customWidth="1"/>
    <col min="4" max="4" width="9.109375" style="49"/>
    <col min="5" max="5" width="16.88671875" style="49" customWidth="1"/>
    <col min="6" max="6" width="9.88671875" style="49" customWidth="1"/>
    <col min="7" max="7" width="19" style="49" customWidth="1"/>
    <col min="8" max="8" width="21.33203125" style="49" customWidth="1"/>
    <col min="9" max="9" width="13.6640625" style="49" customWidth="1"/>
    <col min="10" max="10" width="10" style="49" customWidth="1"/>
    <col min="11" max="11" width="11.5546875" style="49" customWidth="1"/>
    <col min="12" max="12" width="19.33203125" style="49" customWidth="1"/>
    <col min="13" max="13" width="16.88671875" style="49" customWidth="1"/>
    <col min="14" max="14" width="12.5546875" style="49" customWidth="1"/>
    <col min="15" max="15" width="11.44140625" style="49" customWidth="1"/>
    <col min="16" max="16" width="1.6640625" style="141" customWidth="1"/>
    <col min="17" max="17" width="20.6640625" style="49" customWidth="1"/>
    <col min="18" max="18" width="21.6640625" style="49" customWidth="1"/>
    <col min="19" max="19" width="14" style="49" customWidth="1"/>
    <col min="20" max="20" width="12.109375" style="49" customWidth="1"/>
    <col min="21" max="21" width="9.109375" style="49"/>
    <col min="22" max="22" width="15.5546875" style="49" customWidth="1"/>
    <col min="23" max="23" width="18.44140625" style="49" customWidth="1"/>
    <col min="24" max="24" width="17.109375" style="49" customWidth="1"/>
    <col min="25" max="25" width="9.109375" style="49"/>
    <col min="26" max="26" width="16.88671875" style="49" customWidth="1"/>
    <col min="27" max="27" width="12.6640625" style="49" customWidth="1"/>
    <col min="28" max="29" width="9.109375" style="49"/>
    <col min="30" max="30" width="12.109375" style="49" customWidth="1"/>
    <col min="31" max="31" width="19.33203125" style="49" customWidth="1"/>
    <col min="32" max="16384" width="9.109375" style="49"/>
  </cols>
  <sheetData>
    <row r="1" spans="1:35" x14ac:dyDescent="0.3">
      <c r="A1" s="51" t="s">
        <v>298</v>
      </c>
      <c r="L1" s="52" t="s">
        <v>299</v>
      </c>
    </row>
    <row r="2" spans="1:35" s="67" customFormat="1" x14ac:dyDescent="0.3">
      <c r="A2" s="62"/>
      <c r="B2" s="62"/>
      <c r="L2" s="62"/>
      <c r="M2" s="62"/>
      <c r="P2" s="141"/>
    </row>
    <row r="3" spans="1:35" x14ac:dyDescent="0.3">
      <c r="A3" s="61" t="s">
        <v>0</v>
      </c>
      <c r="B3" s="66">
        <v>0.7</v>
      </c>
      <c r="E3" s="64" t="s">
        <v>1</v>
      </c>
      <c r="H3" s="65"/>
      <c r="I3" s="65"/>
      <c r="J3" s="65"/>
      <c r="L3" s="61" t="s">
        <v>2</v>
      </c>
      <c r="M3" s="66">
        <v>0.7</v>
      </c>
    </row>
    <row r="4" spans="1:35" x14ac:dyDescent="0.3">
      <c r="A4" s="61" t="s">
        <v>3</v>
      </c>
      <c r="B4" s="66">
        <v>8.1</v>
      </c>
      <c r="C4" s="49" t="s">
        <v>4</v>
      </c>
      <c r="E4" s="65" t="s">
        <v>5</v>
      </c>
      <c r="H4" s="65"/>
      <c r="I4" s="65"/>
      <c r="J4" s="65"/>
      <c r="L4" s="61" t="s">
        <v>6</v>
      </c>
      <c r="M4" s="66">
        <v>18</v>
      </c>
      <c r="N4" s="49" t="s">
        <v>4</v>
      </c>
    </row>
    <row r="5" spans="1:35" x14ac:dyDescent="0.3">
      <c r="A5" s="61" t="s">
        <v>7</v>
      </c>
      <c r="B5" s="55">
        <v>0</v>
      </c>
      <c r="C5" s="49" t="s">
        <v>8</v>
      </c>
      <c r="E5" s="65" t="s">
        <v>9</v>
      </c>
      <c r="H5" s="65"/>
      <c r="I5" s="65"/>
      <c r="J5" s="65"/>
      <c r="L5" s="61" t="s">
        <v>7</v>
      </c>
      <c r="M5" s="55">
        <v>0</v>
      </c>
      <c r="N5" s="49" t="s">
        <v>8</v>
      </c>
    </row>
    <row r="6" spans="1:35" x14ac:dyDescent="0.3">
      <c r="A6" s="61" t="s">
        <v>10</v>
      </c>
      <c r="B6" s="60">
        <f>(B3*COS(RADIANS(B5))-SIN(RADIANS(B5)))*9.81</f>
        <v>6.87</v>
      </c>
      <c r="C6" s="49" t="s">
        <v>79</v>
      </c>
      <c r="E6" s="68" t="s">
        <v>11</v>
      </c>
      <c r="H6" s="65"/>
      <c r="I6" s="65"/>
      <c r="J6" s="65"/>
      <c r="L6" s="61" t="s">
        <v>12</v>
      </c>
      <c r="M6" s="60">
        <f>(M3*COS(RADIANS(M5))-SIN(RADIANS(M5)))*9.81</f>
        <v>6.87</v>
      </c>
      <c r="N6" s="49" t="s">
        <v>79</v>
      </c>
    </row>
    <row r="7" spans="1:35" x14ac:dyDescent="0.3">
      <c r="A7" s="61" t="s">
        <v>13</v>
      </c>
      <c r="B7" s="60">
        <f>B8/3.6</f>
        <v>0</v>
      </c>
      <c r="C7" s="49" t="s">
        <v>14</v>
      </c>
      <c r="E7" s="65" t="s">
        <v>15</v>
      </c>
      <c r="H7" s="65"/>
      <c r="I7" s="65"/>
      <c r="J7" s="65"/>
      <c r="L7" s="70" t="s">
        <v>16</v>
      </c>
      <c r="M7" s="60">
        <f>M8/3.6</f>
        <v>0</v>
      </c>
      <c r="N7" s="49" t="s">
        <v>14</v>
      </c>
    </row>
    <row r="8" spans="1:35" x14ac:dyDescent="0.3">
      <c r="A8" s="71"/>
      <c r="B8" s="144">
        <v>0</v>
      </c>
      <c r="C8" s="49" t="s">
        <v>17</v>
      </c>
      <c r="E8" s="50"/>
      <c r="F8" s="50"/>
      <c r="L8" s="71"/>
      <c r="M8" s="144">
        <v>0</v>
      </c>
      <c r="N8" s="49" t="s">
        <v>17</v>
      </c>
    </row>
    <row r="9" spans="1:35" s="50" customFormat="1" x14ac:dyDescent="0.3">
      <c r="A9" s="71"/>
      <c r="B9" s="146"/>
      <c r="L9" s="71"/>
      <c r="M9" s="146"/>
      <c r="P9" s="142"/>
    </row>
    <row r="10" spans="1:35" x14ac:dyDescent="0.3">
      <c r="A10" s="61" t="s">
        <v>19</v>
      </c>
      <c r="B10" s="110">
        <f>SQRT(2*(B6*B4)+B7^2)</f>
        <v>10.5</v>
      </c>
      <c r="C10" s="49" t="s">
        <v>20</v>
      </c>
      <c r="F10" s="53" t="s">
        <v>18</v>
      </c>
      <c r="L10" s="61" t="s">
        <v>21</v>
      </c>
      <c r="M10" s="110">
        <f>SQRT(2*(M6*M4)+M7^2)</f>
        <v>15.7</v>
      </c>
      <c r="N10" s="49" t="s">
        <v>20</v>
      </c>
    </row>
    <row r="11" spans="1:35" x14ac:dyDescent="0.3">
      <c r="A11" s="57"/>
      <c r="B11" s="110">
        <f>B10*3.6</f>
        <v>37.799999999999997</v>
      </c>
      <c r="C11" s="49" t="s">
        <v>22</v>
      </c>
      <c r="L11" s="57"/>
      <c r="M11" s="110">
        <f>M10*3.6</f>
        <v>56.5</v>
      </c>
      <c r="N11" s="49" t="s">
        <v>22</v>
      </c>
    </row>
    <row r="13" spans="1:35" x14ac:dyDescent="0.3">
      <c r="A13" s="61" t="s">
        <v>24</v>
      </c>
      <c r="B13" s="57">
        <v>0</v>
      </c>
      <c r="D13" s="50" t="s">
        <v>25</v>
      </c>
      <c r="L13" s="61" t="s">
        <v>26</v>
      </c>
      <c r="M13" s="57">
        <v>188</v>
      </c>
    </row>
    <row r="14" spans="1:35" x14ac:dyDescent="0.3">
      <c r="A14" s="61" t="s">
        <v>27</v>
      </c>
      <c r="B14" s="57">
        <v>341</v>
      </c>
      <c r="D14" s="50" t="s">
        <v>28</v>
      </c>
      <c r="E14" s="50"/>
      <c r="F14" s="50"/>
      <c r="L14" s="61" t="s">
        <v>29</v>
      </c>
      <c r="M14" s="57">
        <v>186</v>
      </c>
    </row>
    <row r="15" spans="1:35" x14ac:dyDescent="0.3">
      <c r="A15" s="61" t="s">
        <v>34</v>
      </c>
      <c r="B15" s="57">
        <v>1250</v>
      </c>
      <c r="C15" s="49" t="s">
        <v>35</v>
      </c>
      <c r="D15" s="49" t="s">
        <v>36</v>
      </c>
      <c r="L15" s="61" t="s">
        <v>37</v>
      </c>
      <c r="M15" s="57">
        <v>1420</v>
      </c>
      <c r="N15" s="49" t="s">
        <v>35</v>
      </c>
      <c r="AI15" s="50"/>
    </row>
    <row r="16" spans="1:35" x14ac:dyDescent="0.3">
      <c r="A16" s="61" t="s">
        <v>30</v>
      </c>
      <c r="B16" s="125">
        <f>B10</f>
        <v>10.5</v>
      </c>
      <c r="C16" s="49" t="s">
        <v>31</v>
      </c>
      <c r="D16" s="50" t="s">
        <v>32</v>
      </c>
      <c r="E16" s="50"/>
      <c r="F16" s="50"/>
      <c r="L16" s="61" t="s">
        <v>33</v>
      </c>
      <c r="M16" s="110">
        <f>M10</f>
        <v>15.7</v>
      </c>
      <c r="N16" s="49" t="s">
        <v>14</v>
      </c>
    </row>
    <row r="18" spans="1:27" x14ac:dyDescent="0.3">
      <c r="A18" s="54" t="s">
        <v>215</v>
      </c>
      <c r="B18" s="55">
        <v>9</v>
      </c>
      <c r="D18" s="49" t="s">
        <v>216</v>
      </c>
    </row>
    <row r="19" spans="1:27" ht="17.399999999999999" x14ac:dyDescent="0.3">
      <c r="A19" s="75" t="s">
        <v>283</v>
      </c>
      <c r="B19" s="76">
        <v>140</v>
      </c>
      <c r="D19" s="49" t="s">
        <v>218</v>
      </c>
    </row>
    <row r="20" spans="1:27" x14ac:dyDescent="0.3">
      <c r="A20" s="54" t="s">
        <v>217</v>
      </c>
      <c r="B20" s="48">
        <f>(B19-100)%</f>
        <v>0.4</v>
      </c>
      <c r="C20" s="50"/>
      <c r="D20" s="73"/>
      <c r="E20" s="50"/>
      <c r="F20" s="50"/>
      <c r="H20" s="53" t="s">
        <v>23</v>
      </c>
    </row>
    <row r="22" spans="1:27" x14ac:dyDescent="0.3">
      <c r="A22" s="61" t="s">
        <v>287</v>
      </c>
      <c r="B22" s="110">
        <f>((SIN(RADIANS(B14-M13))*B15*B16) + (SIN(RADIANS(M14-M13))*M15*M16))/(SIN(RADIANS(B13-M13))*B15)</f>
        <v>29.8</v>
      </c>
      <c r="C22" s="49" t="s">
        <v>38</v>
      </c>
      <c r="D22" s="50" t="s">
        <v>39</v>
      </c>
      <c r="L22" s="61" t="s">
        <v>286</v>
      </c>
      <c r="M22" s="110">
        <f>(SIN(RADIANS(B14-B13))*B15*B16 + SIN(RADIANS(M14-B13))*M15*M16)/(SIN(RADIANS(M13-B13))*M15)</f>
        <v>33.4</v>
      </c>
      <c r="N22" s="49" t="s">
        <v>38</v>
      </c>
    </row>
    <row r="23" spans="1:27" x14ac:dyDescent="0.3">
      <c r="A23" s="78"/>
      <c r="B23" s="110">
        <f>B22*3.6</f>
        <v>107.3</v>
      </c>
      <c r="C23" s="49" t="s">
        <v>17</v>
      </c>
      <c r="F23" s="59" t="s">
        <v>232</v>
      </c>
      <c r="L23" s="78"/>
      <c r="M23" s="110">
        <f>M22*3.6</f>
        <v>120.2</v>
      </c>
      <c r="N23" s="49" t="s">
        <v>17</v>
      </c>
    </row>
    <row r="24" spans="1:27" x14ac:dyDescent="0.3">
      <c r="B24" s="83"/>
      <c r="M24" s="83"/>
    </row>
    <row r="25" spans="1:27" x14ac:dyDescent="0.3">
      <c r="A25" s="54" t="s">
        <v>284</v>
      </c>
      <c r="B25" s="110">
        <f>R30</f>
        <v>29.5</v>
      </c>
      <c r="C25" s="67" t="s">
        <v>14</v>
      </c>
      <c r="F25" s="59" t="s">
        <v>233</v>
      </c>
      <c r="L25" s="54" t="s">
        <v>285</v>
      </c>
      <c r="M25" s="110">
        <f>Z30</f>
        <v>33.200000000000003</v>
      </c>
      <c r="N25" s="67" t="s">
        <v>14</v>
      </c>
    </row>
    <row r="26" spans="1:27" x14ac:dyDescent="0.3">
      <c r="B26" s="110">
        <f>R31</f>
        <v>106.2</v>
      </c>
      <c r="C26" s="67" t="s">
        <v>17</v>
      </c>
      <c r="M26" s="110">
        <f>Z31</f>
        <v>119.5</v>
      </c>
      <c r="N26" s="67" t="s">
        <v>17</v>
      </c>
      <c r="U26" s="54" t="s">
        <v>219</v>
      </c>
      <c r="V26" s="77">
        <f>COS(RADIANS(B13))*B15</f>
        <v>1250</v>
      </c>
      <c r="W26" s="49" t="s">
        <v>35</v>
      </c>
    </row>
    <row r="27" spans="1:27" ht="18" x14ac:dyDescent="0.35">
      <c r="A27" s="80" t="s">
        <v>271</v>
      </c>
      <c r="I27" s="80" t="s">
        <v>272</v>
      </c>
      <c r="U27" s="54" t="s">
        <v>220</v>
      </c>
      <c r="V27" s="77">
        <f>COS(RADIANS(M13))*M15</f>
        <v>-1406.18</v>
      </c>
      <c r="W27" s="49" t="s">
        <v>35</v>
      </c>
    </row>
    <row r="28" spans="1:27" x14ac:dyDescent="0.3">
      <c r="U28" s="54" t="s">
        <v>221</v>
      </c>
      <c r="V28" s="77">
        <f>-COS(RADIANS(B13-B18))</f>
        <v>-0.99</v>
      </c>
    </row>
    <row r="29" spans="1:27" x14ac:dyDescent="0.3">
      <c r="U29" s="54" t="s">
        <v>222</v>
      </c>
      <c r="V29" s="77">
        <f>COS(RADIANS(M13-B18))</f>
        <v>-1</v>
      </c>
    </row>
    <row r="30" spans="1:27" x14ac:dyDescent="0.3">
      <c r="Q30" s="54" t="s">
        <v>227</v>
      </c>
      <c r="R30" s="79">
        <f>((V29*V30)-(V27*V31))/((V26*V29)-(V28*V27))</f>
        <v>29.5</v>
      </c>
      <c r="S30" s="67" t="s">
        <v>14</v>
      </c>
      <c r="U30" s="54" t="s">
        <v>223</v>
      </c>
      <c r="V30" s="77">
        <f>(COS(RADIANS(B14))*B15*B10)+(COS(RADIANS(M14))*M15*M10)</f>
        <v>-9761.94</v>
      </c>
      <c r="W30" s="49" t="s">
        <v>224</v>
      </c>
      <c r="Y30" s="54" t="s">
        <v>228</v>
      </c>
      <c r="Z30" s="79">
        <f>((V26*V31)-(V28*V30))/((V26*V29)-(V28*V27))</f>
        <v>33.200000000000003</v>
      </c>
      <c r="AA30" s="67" t="s">
        <v>14</v>
      </c>
    </row>
    <row r="31" spans="1:27" x14ac:dyDescent="0.3">
      <c r="R31" s="79">
        <f>R30*3.6</f>
        <v>106.2</v>
      </c>
      <c r="S31" s="67" t="s">
        <v>17</v>
      </c>
      <c r="U31" s="54" t="s">
        <v>225</v>
      </c>
      <c r="V31" s="77">
        <f>(((COS(RADIANS(M14-B18)))*M10)-((COS(RADIANS(B14-B18)))*B10))/B20</f>
        <v>-62.37</v>
      </c>
      <c r="W31" s="49" t="s">
        <v>226</v>
      </c>
      <c r="Z31" s="79">
        <f>Z30*3.6</f>
        <v>119.5</v>
      </c>
      <c r="AA31" s="67" t="s">
        <v>17</v>
      </c>
    </row>
    <row r="53" spans="1:36" x14ac:dyDescent="0.3">
      <c r="F53" s="59" t="s">
        <v>40</v>
      </c>
      <c r="U53" s="59" t="s">
        <v>40</v>
      </c>
      <c r="AE53" s="63"/>
      <c r="AF53" s="67"/>
      <c r="AG53" s="67"/>
      <c r="AH53" s="67"/>
      <c r="AI53" s="67"/>
      <c r="AJ53" s="67"/>
    </row>
    <row r="54" spans="1:36" x14ac:dyDescent="0.3">
      <c r="AE54" s="63"/>
      <c r="AF54" s="67"/>
      <c r="AG54" s="67"/>
      <c r="AH54" s="67"/>
      <c r="AI54" s="67"/>
      <c r="AJ54" s="67"/>
    </row>
    <row r="55" spans="1:36" x14ac:dyDescent="0.3">
      <c r="A55" s="61" t="s">
        <v>41</v>
      </c>
      <c r="B55" s="57">
        <v>0</v>
      </c>
      <c r="C55" s="49" t="s">
        <v>42</v>
      </c>
      <c r="D55" s="49" t="s">
        <v>43</v>
      </c>
      <c r="L55" s="61" t="s">
        <v>44</v>
      </c>
      <c r="M55" s="57">
        <v>0</v>
      </c>
      <c r="N55" s="49" t="s">
        <v>42</v>
      </c>
      <c r="Q55" s="61" t="s">
        <v>41</v>
      </c>
      <c r="R55" s="57">
        <f t="shared" ref="R55:R61" si="0">B55</f>
        <v>0</v>
      </c>
      <c r="S55" s="49" t="s">
        <v>42</v>
      </c>
      <c r="T55" s="49" t="s">
        <v>43</v>
      </c>
      <c r="Z55" s="61" t="s">
        <v>44</v>
      </c>
      <c r="AA55" s="57">
        <f t="shared" ref="AA55:AA61" si="1">M55</f>
        <v>0</v>
      </c>
      <c r="AB55" s="49" t="s">
        <v>42</v>
      </c>
      <c r="AE55" s="63"/>
      <c r="AF55" s="67"/>
      <c r="AG55" s="67"/>
      <c r="AH55" s="67"/>
      <c r="AI55" s="67"/>
      <c r="AJ55" s="67"/>
    </row>
    <row r="56" spans="1:36" x14ac:dyDescent="0.3">
      <c r="A56" s="61" t="s">
        <v>45</v>
      </c>
      <c r="B56" s="60">
        <f>B3</f>
        <v>0.7</v>
      </c>
      <c r="L56" s="61" t="s">
        <v>46</v>
      </c>
      <c r="M56" s="60">
        <f>M3</f>
        <v>0.7</v>
      </c>
      <c r="Q56" s="61" t="s">
        <v>45</v>
      </c>
      <c r="R56" s="56">
        <f t="shared" si="0"/>
        <v>0.7</v>
      </c>
      <c r="Z56" s="61" t="s">
        <v>46</v>
      </c>
      <c r="AA56" s="56">
        <f t="shared" si="1"/>
        <v>0.7</v>
      </c>
      <c r="AE56" s="63"/>
      <c r="AF56" s="67"/>
      <c r="AG56" s="67"/>
      <c r="AH56" s="67"/>
      <c r="AI56" s="67"/>
      <c r="AJ56" s="67"/>
    </row>
    <row r="57" spans="1:36" x14ac:dyDescent="0.3">
      <c r="A57" s="61" t="s">
        <v>47</v>
      </c>
      <c r="B57" s="56">
        <f>B5</f>
        <v>0</v>
      </c>
      <c r="C57" s="49" t="s">
        <v>48</v>
      </c>
      <c r="L57" s="61" t="s">
        <v>47</v>
      </c>
      <c r="M57" s="56">
        <f>M5</f>
        <v>0</v>
      </c>
      <c r="N57" s="49" t="s">
        <v>48</v>
      </c>
      <c r="Q57" s="61" t="s">
        <v>47</v>
      </c>
      <c r="R57" s="56">
        <f t="shared" si="0"/>
        <v>0</v>
      </c>
      <c r="S57" s="49" t="s">
        <v>48</v>
      </c>
      <c r="Z57" s="61" t="s">
        <v>47</v>
      </c>
      <c r="AA57" s="56">
        <f t="shared" si="1"/>
        <v>0</v>
      </c>
      <c r="AB57" s="49" t="s">
        <v>48</v>
      </c>
      <c r="AE57" s="63"/>
      <c r="AF57" s="67"/>
      <c r="AG57" s="67"/>
      <c r="AH57" s="67"/>
      <c r="AI57" s="67"/>
      <c r="AJ57" s="67"/>
    </row>
    <row r="58" spans="1:36" x14ac:dyDescent="0.3">
      <c r="A58" s="96" t="s">
        <v>49</v>
      </c>
      <c r="B58" s="58">
        <f>(B56*COS(RADIANS(B57))-SIN(RADIANS(B57)))*9.81</f>
        <v>6.87</v>
      </c>
      <c r="C58" s="49" t="s">
        <v>50</v>
      </c>
      <c r="D58" s="49" t="s">
        <v>51</v>
      </c>
      <c r="L58" s="96" t="s">
        <v>52</v>
      </c>
      <c r="M58" s="58">
        <f>(M56*COS(RADIANS(M57))-SIN(RADIANS(M57)))*9.81</f>
        <v>6.87</v>
      </c>
      <c r="N58" s="49" t="s">
        <v>50</v>
      </c>
      <c r="Q58" s="96" t="s">
        <v>49</v>
      </c>
      <c r="R58" s="58">
        <f t="shared" si="0"/>
        <v>6.87</v>
      </c>
      <c r="S58" s="49" t="s">
        <v>50</v>
      </c>
      <c r="T58" s="49" t="s">
        <v>51</v>
      </c>
      <c r="Z58" s="96" t="s">
        <v>52</v>
      </c>
      <c r="AA58" s="58">
        <f t="shared" si="1"/>
        <v>6.87</v>
      </c>
      <c r="AB58" s="49" t="s">
        <v>50</v>
      </c>
      <c r="AE58" s="63"/>
      <c r="AF58" s="67"/>
      <c r="AG58" s="67"/>
      <c r="AH58" s="67"/>
      <c r="AI58" s="67"/>
      <c r="AJ58" s="67"/>
    </row>
    <row r="59" spans="1:36" x14ac:dyDescent="0.3">
      <c r="A59" s="61" t="s">
        <v>276</v>
      </c>
      <c r="B59" s="57">
        <v>0</v>
      </c>
      <c r="C59" s="49" t="s">
        <v>4</v>
      </c>
      <c r="D59" s="49" t="s">
        <v>54</v>
      </c>
      <c r="L59" s="61" t="s">
        <v>277</v>
      </c>
      <c r="M59" s="57">
        <v>0</v>
      </c>
      <c r="N59" s="49" t="s">
        <v>4</v>
      </c>
      <c r="Q59" s="61" t="s">
        <v>276</v>
      </c>
      <c r="R59" s="57">
        <f t="shared" si="0"/>
        <v>0</v>
      </c>
      <c r="S59" s="49" t="s">
        <v>4</v>
      </c>
      <c r="T59" s="49" t="s">
        <v>54</v>
      </c>
      <c r="Z59" s="61" t="s">
        <v>277</v>
      </c>
      <c r="AA59" s="57">
        <f t="shared" si="1"/>
        <v>0</v>
      </c>
      <c r="AB59" s="49" t="s">
        <v>4</v>
      </c>
      <c r="AE59" s="63"/>
      <c r="AF59" s="67"/>
      <c r="AG59" s="67"/>
      <c r="AH59" s="67"/>
      <c r="AI59" s="67"/>
      <c r="AJ59" s="67"/>
    </row>
    <row r="60" spans="1:36" x14ac:dyDescent="0.3">
      <c r="A60" s="61" t="s">
        <v>56</v>
      </c>
      <c r="B60" s="57">
        <v>0</v>
      </c>
      <c r="C60" s="49" t="s">
        <v>4</v>
      </c>
      <c r="D60" s="49" t="s">
        <v>57</v>
      </c>
      <c r="L60" s="61" t="s">
        <v>58</v>
      </c>
      <c r="M60" s="57">
        <v>0</v>
      </c>
      <c r="N60" s="49" t="s">
        <v>4</v>
      </c>
      <c r="Q60" s="61" t="s">
        <v>56</v>
      </c>
      <c r="R60" s="57">
        <f t="shared" si="0"/>
        <v>0</v>
      </c>
      <c r="S60" s="49" t="s">
        <v>4</v>
      </c>
      <c r="T60" s="49" t="s">
        <v>57</v>
      </c>
      <c r="Z60" s="61" t="s">
        <v>58</v>
      </c>
      <c r="AA60" s="57">
        <f t="shared" si="1"/>
        <v>0</v>
      </c>
      <c r="AB60" s="49" t="s">
        <v>4</v>
      </c>
      <c r="AE60" s="63"/>
      <c r="AF60" s="67"/>
      <c r="AG60" s="67"/>
      <c r="AH60" s="67"/>
      <c r="AI60" s="67"/>
      <c r="AJ60" s="67"/>
    </row>
    <row r="61" spans="1:36" x14ac:dyDescent="0.3">
      <c r="A61" s="61" t="s">
        <v>278</v>
      </c>
      <c r="B61" s="56">
        <f>B59-B60</f>
        <v>0</v>
      </c>
      <c r="C61" s="49" t="s">
        <v>4</v>
      </c>
      <c r="D61" s="49" t="s">
        <v>60</v>
      </c>
      <c r="L61" s="61" t="s">
        <v>279</v>
      </c>
      <c r="M61" s="56">
        <f>M59-M60</f>
        <v>0</v>
      </c>
      <c r="N61" s="49" t="s">
        <v>4</v>
      </c>
      <c r="Q61" s="61" t="s">
        <v>278</v>
      </c>
      <c r="R61" s="56">
        <f t="shared" si="0"/>
        <v>0</v>
      </c>
      <c r="S61" s="49" t="s">
        <v>4</v>
      </c>
      <c r="T61" s="49" t="s">
        <v>60</v>
      </c>
      <c r="Z61" s="61" t="s">
        <v>279</v>
      </c>
      <c r="AA61" s="56">
        <f t="shared" si="1"/>
        <v>0</v>
      </c>
      <c r="AB61" s="49" t="s">
        <v>4</v>
      </c>
      <c r="AE61" s="63"/>
      <c r="AF61" s="67"/>
      <c r="AG61" s="67"/>
      <c r="AH61" s="67"/>
      <c r="AI61" s="67"/>
      <c r="AJ61" s="67"/>
    </row>
    <row r="62" spans="1:36" x14ac:dyDescent="0.3">
      <c r="A62" s="61" t="s">
        <v>62</v>
      </c>
      <c r="B62" s="125">
        <f>B22</f>
        <v>29.8</v>
      </c>
      <c r="C62" s="49" t="s">
        <v>38</v>
      </c>
      <c r="D62" s="49" t="s">
        <v>63</v>
      </c>
      <c r="L62" s="61" t="s">
        <v>62</v>
      </c>
      <c r="M62" s="125">
        <f>M22</f>
        <v>33.4</v>
      </c>
      <c r="N62" s="49" t="s">
        <v>38</v>
      </c>
      <c r="Q62" s="61" t="s">
        <v>62</v>
      </c>
      <c r="R62" s="125">
        <f>R30</f>
        <v>29.5</v>
      </c>
      <c r="S62" s="49" t="s">
        <v>38</v>
      </c>
      <c r="T62" s="49" t="s">
        <v>63</v>
      </c>
      <c r="Z62" s="61" t="s">
        <v>62</v>
      </c>
      <c r="AA62" s="125">
        <f>Z30</f>
        <v>33.200000000000003</v>
      </c>
      <c r="AB62" s="49" t="s">
        <v>38</v>
      </c>
      <c r="AE62" s="63"/>
      <c r="AF62" s="67"/>
      <c r="AG62" s="67"/>
      <c r="AH62" s="67"/>
      <c r="AI62" s="67"/>
      <c r="AJ62" s="67"/>
    </row>
    <row r="63" spans="1:36" x14ac:dyDescent="0.3">
      <c r="B63" s="83"/>
      <c r="M63" s="83"/>
      <c r="R63" s="83"/>
      <c r="AA63" s="83"/>
      <c r="AE63" s="63"/>
      <c r="AF63" s="67"/>
      <c r="AG63" s="67"/>
      <c r="AH63" s="67"/>
      <c r="AI63" s="67"/>
      <c r="AJ63" s="67"/>
    </row>
    <row r="64" spans="1:36" x14ac:dyDescent="0.3">
      <c r="Q64" s="54" t="s">
        <v>175</v>
      </c>
      <c r="R64" s="125">
        <f>(0.5*R55*R58)+SQRT((2*R58*R61)+R62^2)</f>
        <v>29.5</v>
      </c>
      <c r="S64" s="67" t="s">
        <v>38</v>
      </c>
      <c r="T64" s="49" t="s">
        <v>64</v>
      </c>
      <c r="Z64" s="54" t="s">
        <v>176</v>
      </c>
      <c r="AA64" s="125">
        <f>(0.5*AA55*AA58)+SQRT((2*AA58*AA61)+AA62^2)</f>
        <v>33.200000000000003</v>
      </c>
      <c r="AB64" s="67" t="s">
        <v>38</v>
      </c>
      <c r="AE64" s="63"/>
      <c r="AF64" s="67"/>
      <c r="AG64" s="67"/>
      <c r="AH64" s="67"/>
      <c r="AI64" s="67"/>
      <c r="AJ64" s="67"/>
    </row>
    <row r="65" spans="1:36" x14ac:dyDescent="0.3">
      <c r="F65" s="59" t="s">
        <v>232</v>
      </c>
      <c r="R65" s="125">
        <f>R64*3.6</f>
        <v>106.2</v>
      </c>
      <c r="S65" s="67" t="s">
        <v>17</v>
      </c>
      <c r="AA65" s="125">
        <f>AA64*3.6</f>
        <v>119.5</v>
      </c>
      <c r="AB65" s="67" t="s">
        <v>17</v>
      </c>
      <c r="AE65" s="63"/>
      <c r="AF65" s="67"/>
      <c r="AG65" s="67"/>
      <c r="AH65" s="67"/>
      <c r="AI65" s="67"/>
      <c r="AJ65" s="67"/>
    </row>
    <row r="66" spans="1:36" x14ac:dyDescent="0.3">
      <c r="A66" s="54" t="s">
        <v>175</v>
      </c>
      <c r="B66" s="125">
        <f>(0.5*B55*B58)+SQRT((2*B58*B61)+B62^2)</f>
        <v>29.8</v>
      </c>
      <c r="C66" s="67" t="s">
        <v>38</v>
      </c>
      <c r="D66" s="49" t="s">
        <v>64</v>
      </c>
      <c r="L66" s="54" t="s">
        <v>176</v>
      </c>
      <c r="M66" s="125">
        <f>(0.5*M55*M58)+SQRT((2*M58*M61)+M62^2)</f>
        <v>33.4</v>
      </c>
      <c r="N66" s="67" t="s">
        <v>38</v>
      </c>
      <c r="R66" s="83"/>
      <c r="T66" s="67"/>
      <c r="V66" s="50"/>
      <c r="W66" s="50"/>
      <c r="X66" s="50"/>
      <c r="AA66" s="83"/>
      <c r="AE66" s="63"/>
      <c r="AF66" s="67"/>
      <c r="AG66" s="67"/>
      <c r="AH66" s="67"/>
      <c r="AI66" s="67"/>
      <c r="AJ66" s="67"/>
    </row>
    <row r="67" spans="1:36" x14ac:dyDescent="0.3">
      <c r="B67" s="125">
        <f>B66*3.6</f>
        <v>107.3</v>
      </c>
      <c r="C67" s="67" t="s">
        <v>17</v>
      </c>
      <c r="M67" s="125">
        <f>M66*3.6</f>
        <v>120.2</v>
      </c>
      <c r="N67" s="67" t="s">
        <v>17</v>
      </c>
      <c r="R67" s="83"/>
      <c r="T67" s="67"/>
      <c r="V67" s="50"/>
      <c r="W67" s="50"/>
      <c r="X67" s="50"/>
      <c r="AA67" s="83"/>
      <c r="AE67" s="63"/>
      <c r="AF67" s="67"/>
      <c r="AG67" s="67"/>
      <c r="AH67" s="67"/>
      <c r="AI67" s="67"/>
      <c r="AJ67" s="67"/>
    </row>
    <row r="68" spans="1:36" x14ac:dyDescent="0.3">
      <c r="B68" s="83"/>
      <c r="D68" s="67"/>
      <c r="G68" s="50"/>
      <c r="H68" s="50"/>
      <c r="I68" s="50"/>
      <c r="J68" s="50"/>
      <c r="M68" s="83"/>
      <c r="R68" s="83"/>
      <c r="T68" s="67"/>
      <c r="V68" s="50"/>
      <c r="W68" s="50"/>
      <c r="X68" s="50"/>
      <c r="AA68" s="83"/>
      <c r="AE68" s="63"/>
      <c r="AF68" s="67"/>
      <c r="AG68" s="67"/>
      <c r="AH68" s="67"/>
      <c r="AI68" s="67"/>
      <c r="AJ68" s="67"/>
    </row>
    <row r="69" spans="1:36" x14ac:dyDescent="0.3">
      <c r="B69" s="83"/>
      <c r="D69" s="67"/>
      <c r="F69" s="59" t="s">
        <v>233</v>
      </c>
      <c r="G69" s="50"/>
      <c r="H69" s="50"/>
      <c r="I69" s="50"/>
      <c r="J69" s="50"/>
      <c r="M69" s="83"/>
      <c r="R69" s="83"/>
      <c r="T69" s="67"/>
      <c r="V69" s="50"/>
      <c r="W69" s="50"/>
      <c r="X69" s="50"/>
      <c r="AA69" s="83"/>
      <c r="AE69" s="63"/>
      <c r="AF69" s="67"/>
      <c r="AG69" s="67"/>
      <c r="AH69" s="67"/>
      <c r="AI69" s="67"/>
      <c r="AJ69" s="67"/>
    </row>
    <row r="70" spans="1:36" x14ac:dyDescent="0.3">
      <c r="A70" s="54" t="s">
        <v>175</v>
      </c>
      <c r="B70" s="125">
        <f>R64</f>
        <v>29.5</v>
      </c>
      <c r="C70" s="67" t="s">
        <v>38</v>
      </c>
      <c r="D70" s="49" t="s">
        <v>64</v>
      </c>
      <c r="L70" s="54" t="s">
        <v>176</v>
      </c>
      <c r="M70" s="125">
        <f>AA64</f>
        <v>33.200000000000003</v>
      </c>
      <c r="N70" s="67" t="s">
        <v>38</v>
      </c>
      <c r="R70" s="83"/>
      <c r="T70" s="67"/>
      <c r="V70" s="50"/>
      <c r="W70" s="50"/>
      <c r="X70" s="50"/>
      <c r="AA70" s="83"/>
      <c r="AE70" s="63"/>
      <c r="AF70" s="67"/>
      <c r="AG70" s="67"/>
      <c r="AH70" s="67"/>
      <c r="AI70" s="67"/>
      <c r="AJ70" s="67"/>
    </row>
    <row r="71" spans="1:36" x14ac:dyDescent="0.3">
      <c r="B71" s="125">
        <f>R65</f>
        <v>106.2</v>
      </c>
      <c r="C71" s="67" t="s">
        <v>17</v>
      </c>
      <c r="M71" s="125">
        <f>AA65</f>
        <v>119.5</v>
      </c>
      <c r="N71" s="67" t="s">
        <v>17</v>
      </c>
      <c r="R71" s="83"/>
      <c r="T71" s="67"/>
      <c r="V71" s="50"/>
      <c r="W71" s="50"/>
      <c r="X71" s="50"/>
      <c r="AA71" s="83"/>
      <c r="AE71" s="63"/>
      <c r="AF71" s="67"/>
      <c r="AG71" s="67"/>
      <c r="AH71" s="67"/>
      <c r="AI71" s="67"/>
      <c r="AJ71" s="67"/>
    </row>
    <row r="72" spans="1:36" x14ac:dyDescent="0.3">
      <c r="B72" s="83"/>
      <c r="D72" s="67"/>
      <c r="G72" s="50"/>
      <c r="H72" s="50"/>
      <c r="I72" s="50"/>
      <c r="J72" s="50"/>
      <c r="M72" s="83"/>
      <c r="R72" s="83"/>
      <c r="T72" s="67"/>
      <c r="V72" s="50"/>
      <c r="W72" s="50"/>
      <c r="X72" s="50"/>
      <c r="AA72" s="83"/>
      <c r="AE72" s="63"/>
      <c r="AF72" s="67"/>
      <c r="AG72" s="67"/>
      <c r="AH72" s="67"/>
      <c r="AI72" s="67"/>
      <c r="AJ72" s="67"/>
    </row>
    <row r="73" spans="1:36" x14ac:dyDescent="0.3">
      <c r="B73" s="83"/>
      <c r="D73" s="67"/>
      <c r="G73" s="50"/>
      <c r="H73" s="50"/>
      <c r="I73" s="50"/>
      <c r="J73" s="50"/>
      <c r="M73" s="83"/>
      <c r="R73" s="83"/>
      <c r="T73" s="67"/>
      <c r="V73" s="50"/>
      <c r="W73" s="50"/>
      <c r="X73" s="50"/>
      <c r="AA73" s="83"/>
      <c r="AE73" s="63"/>
      <c r="AF73" s="67"/>
      <c r="AG73" s="67"/>
      <c r="AH73" s="67"/>
      <c r="AI73" s="67"/>
      <c r="AJ73" s="67"/>
    </row>
    <row r="74" spans="1:36" x14ac:dyDescent="0.3">
      <c r="B74" s="83"/>
      <c r="D74" s="67"/>
      <c r="G74" s="50"/>
      <c r="H74" s="50"/>
      <c r="I74" s="50"/>
      <c r="J74" s="50"/>
      <c r="M74" s="83"/>
      <c r="R74" s="83"/>
      <c r="T74" s="67"/>
      <c r="V74" s="50"/>
      <c r="W74" s="50"/>
      <c r="X74" s="50"/>
      <c r="AA74" s="83"/>
      <c r="AE74" s="63"/>
      <c r="AF74" s="67"/>
      <c r="AG74" s="67"/>
      <c r="AH74" s="67"/>
      <c r="AI74" s="67"/>
      <c r="AJ74" s="67"/>
    </row>
    <row r="75" spans="1:36" x14ac:dyDescent="0.3">
      <c r="B75" s="83"/>
      <c r="F75" s="59" t="s">
        <v>235</v>
      </c>
      <c r="H75" s="50"/>
      <c r="I75" s="50"/>
      <c r="J75" s="50"/>
      <c r="M75" s="83"/>
      <c r="R75" s="83"/>
      <c r="T75" s="59" t="s">
        <v>236</v>
      </c>
      <c r="W75" s="50"/>
      <c r="X75" s="50"/>
      <c r="AA75" s="83"/>
      <c r="AF75" s="67"/>
      <c r="AG75" s="67"/>
      <c r="AH75" s="67"/>
      <c r="AI75" s="67"/>
      <c r="AJ75" s="67"/>
    </row>
    <row r="76" spans="1:36" x14ac:dyDescent="0.3">
      <c r="B76" s="83"/>
      <c r="D76" s="50"/>
      <c r="G76" s="50"/>
      <c r="H76" s="50"/>
      <c r="I76" s="50"/>
      <c r="J76" s="50"/>
      <c r="K76" s="50"/>
      <c r="M76" s="83"/>
      <c r="R76" s="83"/>
      <c r="T76" s="50"/>
      <c r="V76" s="50"/>
      <c r="W76" s="50"/>
      <c r="X76" s="50"/>
      <c r="Y76" s="50"/>
      <c r="AA76" s="83"/>
      <c r="AF76" s="67"/>
      <c r="AG76" s="67"/>
      <c r="AH76" s="62"/>
      <c r="AI76" s="62"/>
      <c r="AJ76" s="67"/>
    </row>
    <row r="77" spans="1:36" x14ac:dyDescent="0.3">
      <c r="A77" s="70" t="s">
        <v>65</v>
      </c>
      <c r="B77" s="57">
        <v>1</v>
      </c>
      <c r="C77" s="49" t="s">
        <v>66</v>
      </c>
      <c r="D77" s="49" t="s">
        <v>67</v>
      </c>
      <c r="G77" s="50"/>
      <c r="H77" s="50"/>
      <c r="I77" s="50"/>
      <c r="J77" s="50"/>
      <c r="K77" s="50"/>
      <c r="L77" s="61" t="s">
        <v>68</v>
      </c>
      <c r="M77" s="57">
        <v>1</v>
      </c>
      <c r="N77" s="49" t="s">
        <v>66</v>
      </c>
      <c r="Q77" s="70" t="s">
        <v>65</v>
      </c>
      <c r="R77" s="57">
        <v>1</v>
      </c>
      <c r="S77" s="49" t="s">
        <v>66</v>
      </c>
      <c r="T77" s="49" t="s">
        <v>67</v>
      </c>
      <c r="V77" s="50"/>
      <c r="W77" s="50"/>
      <c r="X77" s="50"/>
      <c r="Y77" s="50"/>
      <c r="Z77" s="61" t="s">
        <v>68</v>
      </c>
      <c r="AA77" s="57">
        <v>1</v>
      </c>
      <c r="AB77" s="49" t="s">
        <v>66</v>
      </c>
      <c r="AF77" s="67"/>
      <c r="AG77" s="67"/>
      <c r="AH77" s="62"/>
      <c r="AI77" s="69"/>
      <c r="AJ77" s="67"/>
    </row>
    <row r="78" spans="1:36" x14ac:dyDescent="0.3">
      <c r="A78" s="70" t="s">
        <v>69</v>
      </c>
      <c r="B78" s="57">
        <v>0.2</v>
      </c>
      <c r="C78" s="49" t="s">
        <v>66</v>
      </c>
      <c r="D78" s="49" t="s">
        <v>70</v>
      </c>
      <c r="G78" s="50"/>
      <c r="H78" s="50"/>
      <c r="I78" s="50"/>
      <c r="J78" s="50"/>
      <c r="K78" s="50"/>
      <c r="L78" s="61" t="s">
        <v>71</v>
      </c>
      <c r="M78" s="57">
        <v>0.2</v>
      </c>
      <c r="N78" s="49" t="s">
        <v>66</v>
      </c>
      <c r="Q78" s="70" t="s">
        <v>69</v>
      </c>
      <c r="R78" s="57">
        <v>0.2</v>
      </c>
      <c r="S78" s="49" t="s">
        <v>66</v>
      </c>
      <c r="T78" s="49" t="s">
        <v>70</v>
      </c>
      <c r="V78" s="50"/>
      <c r="W78" s="50"/>
      <c r="X78" s="50"/>
      <c r="Y78" s="50"/>
      <c r="Z78" s="61" t="s">
        <v>71</v>
      </c>
      <c r="AA78" s="57">
        <v>0.2</v>
      </c>
      <c r="AB78" s="49" t="s">
        <v>66</v>
      </c>
      <c r="AF78" s="67"/>
      <c r="AG78" s="67"/>
      <c r="AH78" s="67"/>
      <c r="AI78" s="67"/>
      <c r="AJ78" s="67"/>
    </row>
    <row r="79" spans="1:36" x14ac:dyDescent="0.3">
      <c r="A79" s="70" t="s">
        <v>72</v>
      </c>
      <c r="B79" s="97">
        <f>B55</f>
        <v>0</v>
      </c>
      <c r="C79" s="49" t="s">
        <v>66</v>
      </c>
      <c r="D79" s="49" t="s">
        <v>73</v>
      </c>
      <c r="G79" s="50"/>
      <c r="H79" s="50"/>
      <c r="I79" s="50"/>
      <c r="J79" s="50"/>
      <c r="K79" s="50"/>
      <c r="L79" s="61" t="s">
        <v>74</v>
      </c>
      <c r="M79" s="57">
        <v>0.4</v>
      </c>
      <c r="N79" s="49" t="s">
        <v>66</v>
      </c>
      <c r="Q79" s="70" t="s">
        <v>72</v>
      </c>
      <c r="R79" s="97">
        <f>R55</f>
        <v>0</v>
      </c>
      <c r="S79" s="49" t="s">
        <v>66</v>
      </c>
      <c r="T79" s="49" t="s">
        <v>73</v>
      </c>
      <c r="V79" s="50"/>
      <c r="W79" s="50"/>
      <c r="X79" s="50"/>
      <c r="Y79" s="50"/>
      <c r="Z79" s="61" t="s">
        <v>74</v>
      </c>
      <c r="AA79" s="57">
        <f>AA55</f>
        <v>0</v>
      </c>
      <c r="AB79" s="49" t="s">
        <v>66</v>
      </c>
      <c r="AF79" s="67"/>
      <c r="AG79" s="67"/>
      <c r="AH79" s="67"/>
      <c r="AI79" s="67"/>
      <c r="AJ79" s="67"/>
    </row>
    <row r="80" spans="1:36" x14ac:dyDescent="0.3">
      <c r="A80" s="70" t="s">
        <v>75</v>
      </c>
      <c r="B80" s="58">
        <f>B58</f>
        <v>6.87</v>
      </c>
      <c r="C80" s="49" t="s">
        <v>79</v>
      </c>
      <c r="D80" s="49" t="s">
        <v>76</v>
      </c>
      <c r="G80" s="50"/>
      <c r="H80" s="50"/>
      <c r="I80" s="50"/>
      <c r="J80" s="50"/>
      <c r="K80" s="50"/>
      <c r="L80" s="61" t="s">
        <v>77</v>
      </c>
      <c r="M80" s="58">
        <f>M58</f>
        <v>6.87</v>
      </c>
      <c r="N80" s="49" t="s">
        <v>79</v>
      </c>
      <c r="Q80" s="70" t="s">
        <v>75</v>
      </c>
      <c r="R80" s="58">
        <f>R58</f>
        <v>6.87</v>
      </c>
      <c r="S80" s="49" t="s">
        <v>79</v>
      </c>
      <c r="T80" s="49" t="s">
        <v>76</v>
      </c>
      <c r="V80" s="50"/>
      <c r="W80" s="50"/>
      <c r="X80" s="50"/>
      <c r="Y80" s="50"/>
      <c r="Z80" s="61" t="s">
        <v>77</v>
      </c>
      <c r="AA80" s="58">
        <f>AA58</f>
        <v>6.87</v>
      </c>
      <c r="AB80" s="49" t="s">
        <v>79</v>
      </c>
      <c r="AF80" s="67"/>
      <c r="AG80" s="67"/>
      <c r="AH80" s="67"/>
      <c r="AI80" s="67"/>
      <c r="AJ80" s="67"/>
    </row>
    <row r="81" spans="1:28" x14ac:dyDescent="0.3">
      <c r="A81" s="70" t="s">
        <v>78</v>
      </c>
      <c r="B81" s="125">
        <f>B66</f>
        <v>29.8</v>
      </c>
      <c r="C81" s="49" t="s">
        <v>79</v>
      </c>
      <c r="D81" s="49" t="s">
        <v>80</v>
      </c>
      <c r="G81" s="50"/>
      <c r="H81" s="50"/>
      <c r="I81" s="50"/>
      <c r="J81" s="50"/>
      <c r="K81" s="50"/>
      <c r="L81" s="61" t="s">
        <v>81</v>
      </c>
      <c r="M81" s="125">
        <f>M66</f>
        <v>33.4</v>
      </c>
      <c r="N81" s="49" t="s">
        <v>79</v>
      </c>
      <c r="Q81" s="70" t="s">
        <v>78</v>
      </c>
      <c r="R81" s="125">
        <f>R64</f>
        <v>29.5</v>
      </c>
      <c r="S81" s="49" t="s">
        <v>79</v>
      </c>
      <c r="T81" s="49" t="s">
        <v>80</v>
      </c>
      <c r="V81" s="50"/>
      <c r="W81" s="50"/>
      <c r="X81" s="50"/>
      <c r="Y81" s="50"/>
      <c r="Z81" s="61" t="s">
        <v>81</v>
      </c>
      <c r="AA81" s="125">
        <f>AA64</f>
        <v>33.200000000000003</v>
      </c>
      <c r="AB81" s="49" t="s">
        <v>79</v>
      </c>
    </row>
    <row r="82" spans="1:28" x14ac:dyDescent="0.3">
      <c r="A82" s="71"/>
      <c r="B82" s="125">
        <f>B81*3.6</f>
        <v>107.3</v>
      </c>
      <c r="C82" s="49" t="s">
        <v>17</v>
      </c>
      <c r="G82" s="50"/>
      <c r="H82" s="50"/>
      <c r="I82" s="50"/>
      <c r="J82" s="50"/>
      <c r="K82" s="50"/>
      <c r="L82" s="62"/>
      <c r="M82" s="125">
        <f>M81*3.6</f>
        <v>120.2</v>
      </c>
      <c r="N82" s="49" t="s">
        <v>17</v>
      </c>
      <c r="Q82" s="71"/>
      <c r="R82" s="125">
        <f>R81*3.6</f>
        <v>106.2</v>
      </c>
      <c r="S82" s="49" t="s">
        <v>17</v>
      </c>
      <c r="V82" s="50"/>
      <c r="W82" s="50"/>
      <c r="X82" s="50"/>
      <c r="Y82" s="50"/>
      <c r="Z82" s="62"/>
      <c r="AA82" s="125">
        <f>AA81*3.6</f>
        <v>119.5</v>
      </c>
      <c r="AB82" s="49" t="s">
        <v>17</v>
      </c>
    </row>
    <row r="83" spans="1:28" x14ac:dyDescent="0.3">
      <c r="A83" s="71"/>
      <c r="B83" s="69"/>
      <c r="C83" s="63"/>
      <c r="D83" s="63"/>
      <c r="E83" s="63"/>
      <c r="F83" s="63"/>
      <c r="G83" s="67"/>
      <c r="H83" s="67"/>
      <c r="I83" s="67"/>
      <c r="J83" s="67"/>
      <c r="K83" s="67"/>
      <c r="L83" s="62"/>
      <c r="M83" s="69"/>
      <c r="Q83" s="71"/>
      <c r="R83" s="69"/>
      <c r="S83" s="63"/>
      <c r="T83" s="63"/>
      <c r="U83" s="63"/>
      <c r="V83" s="67"/>
      <c r="W83" s="67"/>
      <c r="X83" s="67"/>
      <c r="Y83" s="67"/>
      <c r="Z83" s="62"/>
      <c r="AA83" s="69"/>
    </row>
    <row r="84" spans="1:28" x14ac:dyDescent="0.3">
      <c r="B84" s="83"/>
      <c r="G84" s="50"/>
      <c r="H84" s="50"/>
      <c r="I84" s="50"/>
      <c r="J84" s="50"/>
      <c r="K84" s="50"/>
      <c r="M84" s="83"/>
      <c r="R84" s="83"/>
      <c r="V84" s="50"/>
      <c r="W84" s="50"/>
      <c r="X84" s="50"/>
      <c r="Y84" s="50"/>
      <c r="AA84" s="83"/>
    </row>
    <row r="85" spans="1:28" x14ac:dyDescent="0.3">
      <c r="A85" s="70" t="s">
        <v>82</v>
      </c>
      <c r="B85" s="98">
        <f>(B77+B78+0.5*B79)*B81+(B81^2)/(2*B80)</f>
        <v>100.39</v>
      </c>
      <c r="C85" s="49" t="s">
        <v>4</v>
      </c>
      <c r="D85" s="49" t="s">
        <v>83</v>
      </c>
      <c r="G85" s="50"/>
      <c r="H85" s="50"/>
      <c r="I85" s="50"/>
      <c r="J85" s="50"/>
      <c r="K85" s="50"/>
      <c r="L85" s="61" t="s">
        <v>82</v>
      </c>
      <c r="M85" s="98">
        <f>(M77+M78+0.5*M79)*M81+(M81^2)/(2*M80)</f>
        <v>127.95</v>
      </c>
      <c r="Q85" s="70" t="s">
        <v>82</v>
      </c>
      <c r="R85" s="98">
        <f>(R77+R78+0.5*R79)*R81+(R81^2)/(2*R80)</f>
        <v>98.74</v>
      </c>
      <c r="S85" s="49" t="s">
        <v>4</v>
      </c>
      <c r="T85" s="49" t="s">
        <v>83</v>
      </c>
      <c r="V85" s="50"/>
      <c r="W85" s="50"/>
      <c r="X85" s="50"/>
      <c r="Y85" s="50"/>
      <c r="Z85" s="61" t="s">
        <v>82</v>
      </c>
      <c r="AA85" s="98">
        <f>(AA77+AA78+0.5*AA79)*AA81+(AA81^2)/(2*AA80)</f>
        <v>120.06</v>
      </c>
    </row>
    <row r="87" spans="1:28" x14ac:dyDescent="0.3">
      <c r="E87" s="50"/>
      <c r="F87" s="50"/>
      <c r="G87" s="50"/>
      <c r="H87" s="50"/>
      <c r="I87" s="50"/>
      <c r="J87" s="50"/>
      <c r="K87" s="50"/>
      <c r="L87" s="50"/>
      <c r="U87" s="50"/>
      <c r="V87" s="50"/>
      <c r="W87" s="50"/>
      <c r="X87" s="50"/>
      <c r="Y87" s="50"/>
      <c r="Z87" s="50"/>
    </row>
    <row r="88" spans="1:28" x14ac:dyDescent="0.3">
      <c r="E88" s="53" t="s">
        <v>84</v>
      </c>
      <c r="F88" s="50"/>
      <c r="H88" s="50"/>
      <c r="I88" s="50"/>
      <c r="J88" s="50"/>
      <c r="K88" s="50"/>
      <c r="L88" s="50"/>
      <c r="T88" s="53" t="s">
        <v>84</v>
      </c>
      <c r="U88" s="50"/>
      <c r="W88" s="50"/>
      <c r="X88" s="50"/>
      <c r="Y88" s="50"/>
      <c r="Z88" s="50"/>
    </row>
    <row r="89" spans="1:28" x14ac:dyDescent="0.3">
      <c r="E89" s="50"/>
      <c r="F89" s="50"/>
      <c r="G89" s="50"/>
      <c r="H89" s="50"/>
      <c r="I89" s="50"/>
      <c r="J89" s="50"/>
      <c r="K89" s="50"/>
      <c r="L89" s="50"/>
      <c r="O89" s="67"/>
      <c r="U89" s="50"/>
      <c r="V89" s="50"/>
      <c r="W89" s="50"/>
      <c r="X89" s="50"/>
      <c r="Y89" s="50"/>
      <c r="Z89" s="50"/>
    </row>
    <row r="90" spans="1:28" x14ac:dyDescent="0.3">
      <c r="E90" s="50"/>
      <c r="F90" s="50"/>
      <c r="G90" s="50"/>
      <c r="H90" s="50"/>
      <c r="I90" s="50"/>
      <c r="J90" s="50"/>
      <c r="K90" s="50"/>
      <c r="L90" s="50"/>
      <c r="O90" s="67"/>
      <c r="U90" s="50"/>
      <c r="V90" s="50"/>
      <c r="W90" s="50"/>
      <c r="X90" s="50"/>
      <c r="Y90" s="50"/>
      <c r="Z90" s="50"/>
    </row>
    <row r="91" spans="1:28" x14ac:dyDescent="0.3">
      <c r="D91" s="50"/>
      <c r="E91" s="50"/>
      <c r="F91" s="50"/>
      <c r="G91" s="50"/>
      <c r="H91" s="50"/>
      <c r="I91" s="50"/>
      <c r="J91" s="50"/>
      <c r="K91" s="50"/>
      <c r="L91" s="50"/>
      <c r="O91" s="67"/>
      <c r="T91" s="50"/>
      <c r="U91" s="50"/>
      <c r="V91" s="50"/>
      <c r="W91" s="50"/>
      <c r="X91" s="50"/>
      <c r="Y91" s="50"/>
      <c r="Z91" s="50"/>
    </row>
    <row r="92" spans="1:28" x14ac:dyDescent="0.3">
      <c r="D92" s="50"/>
      <c r="E92" s="50"/>
      <c r="F92" s="50"/>
      <c r="G92" s="50"/>
      <c r="H92" s="50"/>
      <c r="I92" s="50"/>
      <c r="J92" s="50"/>
      <c r="K92" s="50"/>
      <c r="L92" s="50"/>
      <c r="O92" s="62"/>
      <c r="Q92" s="54" t="s">
        <v>280</v>
      </c>
      <c r="R92" s="99">
        <f>R77+R78+(0.5*R79)</f>
        <v>1.2</v>
      </c>
      <c r="T92" s="50"/>
      <c r="U92" s="50"/>
      <c r="V92" s="50"/>
      <c r="W92" s="50"/>
      <c r="X92" s="50"/>
      <c r="Y92" s="50"/>
      <c r="Z92" s="54" t="s">
        <v>280</v>
      </c>
      <c r="AA92" s="99">
        <f>AA77+AA78+(0.5*AA79)</f>
        <v>1.2</v>
      </c>
    </row>
    <row r="93" spans="1:28" x14ac:dyDescent="0.3">
      <c r="D93" s="50"/>
      <c r="E93" s="50"/>
      <c r="F93" s="50"/>
      <c r="H93" s="50"/>
      <c r="I93" s="50"/>
      <c r="J93" s="50"/>
      <c r="K93" s="50"/>
      <c r="L93" s="50"/>
      <c r="O93" s="67"/>
      <c r="T93" s="50"/>
      <c r="U93" s="50"/>
      <c r="W93" s="50"/>
      <c r="X93" s="50"/>
      <c r="Y93" s="50"/>
      <c r="Z93" s="50"/>
    </row>
    <row r="94" spans="1:28" x14ac:dyDescent="0.3">
      <c r="A94" s="54" t="s">
        <v>229</v>
      </c>
      <c r="B94" s="100">
        <f>(B77+B78+(0.5*B79))+((B66-B22)/B80)</f>
        <v>1.2</v>
      </c>
      <c r="E94" s="50"/>
      <c r="F94" s="50"/>
      <c r="G94" s="50"/>
      <c r="H94" s="50"/>
      <c r="I94" s="50"/>
      <c r="J94" s="50"/>
      <c r="K94" s="50"/>
      <c r="L94" s="54" t="s">
        <v>229</v>
      </c>
      <c r="M94" s="100">
        <f>(M77+M78+(0.5*M79))+((M66-M22)/M80)</f>
        <v>1.4</v>
      </c>
      <c r="O94" s="67"/>
      <c r="Q94" s="54" t="s">
        <v>229</v>
      </c>
      <c r="R94" s="77">
        <f>(R77+R78+(0.5*R79))+((R64-R62)/R80)</f>
        <v>1.2</v>
      </c>
      <c r="U94" s="50"/>
      <c r="V94" s="50"/>
      <c r="W94" s="50"/>
      <c r="X94" s="50"/>
      <c r="Y94" s="50"/>
      <c r="Z94" s="54" t="s">
        <v>229</v>
      </c>
      <c r="AA94" s="77">
        <f>(AA77+AA78+(0.5*AA79))+((AA64-AA62)/AA80)</f>
        <v>1.2</v>
      </c>
    </row>
    <row r="95" spans="1:28" x14ac:dyDescent="0.3">
      <c r="E95" s="50"/>
      <c r="F95" s="50"/>
      <c r="G95" s="50"/>
      <c r="H95" s="50"/>
      <c r="I95" s="50"/>
      <c r="J95" s="50"/>
      <c r="K95" s="50"/>
      <c r="L95" s="50"/>
      <c r="U95" s="50"/>
      <c r="V95" s="50"/>
      <c r="W95" s="50"/>
      <c r="X95" s="50"/>
      <c r="Y95" s="50"/>
      <c r="Z95" s="50"/>
    </row>
    <row r="96" spans="1:28" x14ac:dyDescent="0.3">
      <c r="E96" s="50"/>
      <c r="F96" s="101"/>
      <c r="G96" s="50"/>
      <c r="H96" s="50"/>
      <c r="I96" s="50"/>
      <c r="J96" s="50"/>
      <c r="K96" s="50"/>
      <c r="L96" s="50"/>
      <c r="U96" s="101"/>
      <c r="V96" s="50"/>
      <c r="W96" s="50"/>
      <c r="X96" s="50"/>
      <c r="Y96" s="50"/>
      <c r="Z96" s="50"/>
    </row>
    <row r="97" spans="1:30" x14ac:dyDescent="0.3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</row>
    <row r="98" spans="1:30" x14ac:dyDescent="0.3">
      <c r="A98" s="67"/>
      <c r="B98" s="67"/>
      <c r="C98" s="67"/>
      <c r="D98" s="67"/>
      <c r="E98" s="52" t="s">
        <v>85</v>
      </c>
      <c r="H98" s="67"/>
      <c r="I98" s="67"/>
      <c r="J98" s="67"/>
      <c r="K98" s="67"/>
      <c r="L98" s="67"/>
      <c r="M98" s="67"/>
      <c r="N98" s="67"/>
      <c r="Q98" s="67"/>
      <c r="R98" s="67"/>
      <c r="S98" s="67"/>
      <c r="T98" s="52" t="s">
        <v>85</v>
      </c>
      <c r="W98" s="67"/>
      <c r="X98" s="67"/>
      <c r="Y98" s="67"/>
      <c r="Z98" s="67"/>
      <c r="AA98" s="67"/>
      <c r="AB98" s="67"/>
    </row>
    <row r="99" spans="1:30" x14ac:dyDescent="0.3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</row>
    <row r="100" spans="1:30" x14ac:dyDescent="0.3">
      <c r="A100" s="67"/>
      <c r="B100" s="67"/>
      <c r="C100" s="67"/>
      <c r="D100" s="62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Q100" s="67"/>
      <c r="R100" s="67"/>
      <c r="S100" s="67"/>
      <c r="T100" s="62"/>
      <c r="U100" s="67"/>
      <c r="V100" s="67"/>
      <c r="W100" s="67"/>
      <c r="X100" s="67"/>
      <c r="Y100" s="67"/>
      <c r="Z100" s="67"/>
      <c r="AA100" s="67"/>
      <c r="AB100" s="67"/>
    </row>
    <row r="101" spans="1:30" x14ac:dyDescent="0.3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</row>
    <row r="102" spans="1:30" x14ac:dyDescent="0.3">
      <c r="A102" s="67"/>
      <c r="B102" s="102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102"/>
      <c r="N102" s="67"/>
      <c r="Q102" s="67"/>
      <c r="R102" s="102"/>
      <c r="S102" s="67"/>
      <c r="T102" s="67"/>
      <c r="U102" s="67"/>
      <c r="V102" s="67"/>
      <c r="W102" s="67"/>
      <c r="X102" s="67"/>
      <c r="Y102" s="67"/>
      <c r="Z102" s="67"/>
      <c r="AA102" s="102"/>
      <c r="AB102" s="67"/>
    </row>
    <row r="103" spans="1:30" x14ac:dyDescent="0.3">
      <c r="E103" s="67"/>
      <c r="K103" s="50"/>
      <c r="L103" s="50"/>
      <c r="Y103" s="50"/>
      <c r="Z103" s="50"/>
    </row>
    <row r="104" spans="1:30" x14ac:dyDescent="0.3">
      <c r="A104" s="49" t="s">
        <v>157</v>
      </c>
      <c r="E104" s="67"/>
      <c r="K104" s="50"/>
      <c r="L104" s="49" t="s">
        <v>157</v>
      </c>
      <c r="Q104" s="49" t="s">
        <v>157</v>
      </c>
      <c r="Y104" s="50"/>
      <c r="Z104" s="49" t="s">
        <v>157</v>
      </c>
    </row>
    <row r="105" spans="1:30" x14ac:dyDescent="0.3">
      <c r="A105" s="103" t="s">
        <v>281</v>
      </c>
      <c r="B105" s="100">
        <f>((B77+B78+(0.5*B79))*B66)+B61</f>
        <v>35.76</v>
      </c>
      <c r="E105" s="67"/>
      <c r="K105" s="50"/>
      <c r="L105" s="103" t="s">
        <v>282</v>
      </c>
      <c r="M105" s="100">
        <f>((M77+M78+(0.5*M79))*M66)+M61</f>
        <v>46.76</v>
      </c>
      <c r="Q105" s="103" t="s">
        <v>281</v>
      </c>
      <c r="R105" s="77">
        <f>((R77+R78+(0.5*R79))*R64)+R61</f>
        <v>35.4</v>
      </c>
      <c r="Y105" s="50"/>
      <c r="Z105" s="103" t="s">
        <v>282</v>
      </c>
      <c r="AA105" s="77">
        <f>((AA77+AA78+(0.5*AA79))*AA64)+AA61</f>
        <v>39.840000000000003</v>
      </c>
    </row>
    <row r="106" spans="1:30" x14ac:dyDescent="0.3">
      <c r="E106" s="67"/>
      <c r="K106" s="50"/>
      <c r="L106" s="50"/>
      <c r="Y106" s="50"/>
      <c r="Z106" s="50"/>
    </row>
    <row r="107" spans="1:30" x14ac:dyDescent="0.3">
      <c r="E107" s="67"/>
      <c r="K107" s="50"/>
      <c r="L107" s="50"/>
      <c r="Y107" s="50"/>
      <c r="Z107" s="50"/>
    </row>
    <row r="108" spans="1:30" x14ac:dyDescent="0.3">
      <c r="E108" s="67"/>
      <c r="K108" s="50"/>
      <c r="L108" s="50"/>
      <c r="Y108" s="50"/>
      <c r="Z108" s="50"/>
    </row>
    <row r="109" spans="1:30" x14ac:dyDescent="0.3">
      <c r="E109" s="67"/>
      <c r="K109" s="50"/>
      <c r="L109" s="50"/>
      <c r="Y109" s="50"/>
      <c r="Z109" s="50"/>
    </row>
    <row r="110" spans="1:30" x14ac:dyDescent="0.3">
      <c r="E110" s="67"/>
      <c r="K110" s="50"/>
      <c r="L110" s="50"/>
      <c r="Y110" s="50"/>
      <c r="Z110" s="50"/>
    </row>
    <row r="111" spans="1:30" x14ac:dyDescent="0.3">
      <c r="A111" s="54" t="s">
        <v>86</v>
      </c>
      <c r="B111" s="100">
        <f>((B77+B78+(0.5*B79))*B66)+(B66^2-B22^2)/(2*B58)</f>
        <v>35.76</v>
      </c>
      <c r="E111" s="67"/>
      <c r="K111" s="50"/>
      <c r="L111" s="54" t="s">
        <v>86</v>
      </c>
      <c r="M111" s="100">
        <f>((M77+M78+(0.5*M79))*M66)+(M66^2-M22^2)/(2*M58)</f>
        <v>46.76</v>
      </c>
      <c r="Q111" s="54" t="s">
        <v>86</v>
      </c>
      <c r="R111" s="77">
        <f>((R77+R78+(0.5*R79))*R64)+(R64^2-R62^2)/(2*R58)</f>
        <v>35.4</v>
      </c>
      <c r="Y111" s="50"/>
      <c r="Z111" s="54" t="s">
        <v>86</v>
      </c>
      <c r="AA111" s="77">
        <f>((AA77+AA78+(0.5*AA79))*AA64)+(AA64^2-AA62^2)/(2*AA58)</f>
        <v>39.840000000000003</v>
      </c>
    </row>
    <row r="112" spans="1:30" x14ac:dyDescent="0.3">
      <c r="E112" s="67"/>
      <c r="K112" s="50"/>
      <c r="L112" s="50"/>
      <c r="Y112" s="50"/>
      <c r="Z112" s="50"/>
      <c r="AC112" s="67"/>
      <c r="AD112" s="67"/>
    </row>
    <row r="113" spans="1:30" x14ac:dyDescent="0.3">
      <c r="E113" s="67"/>
      <c r="K113" s="50"/>
      <c r="L113" s="50"/>
      <c r="Y113" s="50"/>
      <c r="Z113" s="50"/>
      <c r="AC113" s="67"/>
      <c r="AD113" s="67"/>
    </row>
    <row r="114" spans="1:30" x14ac:dyDescent="0.3">
      <c r="E114" s="67"/>
      <c r="K114" s="50"/>
      <c r="L114" s="50"/>
      <c r="Y114" s="50"/>
      <c r="Z114" s="50"/>
      <c r="AC114" s="67"/>
      <c r="AD114" s="67"/>
    </row>
    <row r="115" spans="1:30" x14ac:dyDescent="0.3">
      <c r="E115" s="67"/>
      <c r="K115" s="50"/>
      <c r="Y115" s="50"/>
      <c r="AC115" s="62"/>
      <c r="AD115" s="67"/>
    </row>
    <row r="116" spans="1:30" x14ac:dyDescent="0.3">
      <c r="D116" s="50"/>
      <c r="E116" s="52" t="s">
        <v>87</v>
      </c>
      <c r="G116" s="62"/>
      <c r="K116" s="50"/>
      <c r="L116" s="50"/>
      <c r="T116" s="52" t="s">
        <v>87</v>
      </c>
      <c r="V116" s="62"/>
      <c r="Y116" s="50"/>
      <c r="Z116" s="50"/>
      <c r="AC116" s="67"/>
      <c r="AD116" s="67"/>
    </row>
    <row r="117" spans="1:30" x14ac:dyDescent="0.3">
      <c r="C117" s="50"/>
      <c r="D117" s="50"/>
      <c r="E117" s="67"/>
      <c r="G117" s="67"/>
      <c r="K117" s="50"/>
      <c r="L117" s="50"/>
      <c r="S117" s="50"/>
      <c r="T117" s="50"/>
      <c r="V117" s="67"/>
      <c r="Y117" s="50"/>
      <c r="Z117" s="50"/>
      <c r="AC117" s="67"/>
      <c r="AD117" s="67"/>
    </row>
    <row r="118" spans="1:30" x14ac:dyDescent="0.3">
      <c r="E118" s="67"/>
      <c r="K118" s="50"/>
      <c r="L118" s="50"/>
      <c r="Y118" s="50"/>
      <c r="Z118" s="50"/>
    </row>
    <row r="119" spans="1:30" x14ac:dyDescent="0.3">
      <c r="E119" s="67"/>
      <c r="K119" s="50"/>
      <c r="L119" s="50"/>
      <c r="Y119" s="50"/>
      <c r="Z119" s="50"/>
    </row>
    <row r="120" spans="1:30" x14ac:dyDescent="0.3">
      <c r="E120" s="67"/>
      <c r="K120" s="50"/>
      <c r="L120" s="50"/>
      <c r="Y120" s="50"/>
      <c r="Z120" s="50"/>
    </row>
    <row r="121" spans="1:30" x14ac:dyDescent="0.3">
      <c r="A121" s="54" t="s">
        <v>280</v>
      </c>
      <c r="B121" s="72">
        <f>B77+B78+(0.5*B79)</f>
        <v>1.2</v>
      </c>
      <c r="E121" s="67"/>
      <c r="K121" s="50"/>
      <c r="L121" s="54" t="s">
        <v>280</v>
      </c>
      <c r="M121" s="72">
        <f>M77+M78+(0.5*M79)</f>
        <v>1.4</v>
      </c>
      <c r="Q121" s="54" t="s">
        <v>280</v>
      </c>
      <c r="R121" s="99">
        <f>R77+R78+(0.5*R79)</f>
        <v>1.2</v>
      </c>
      <c r="Y121" s="50"/>
      <c r="Z121" s="54" t="s">
        <v>280</v>
      </c>
      <c r="AA121" s="99">
        <f>AA77+AA78+(0.5*AA79)</f>
        <v>1.2</v>
      </c>
    </row>
    <row r="122" spans="1:30" x14ac:dyDescent="0.3">
      <c r="E122" s="67"/>
      <c r="K122" s="50"/>
      <c r="L122" s="50"/>
      <c r="Y122" s="50"/>
      <c r="Z122" s="50"/>
    </row>
    <row r="123" spans="1:30" x14ac:dyDescent="0.3">
      <c r="A123" s="54" t="s">
        <v>88</v>
      </c>
      <c r="B123" s="100">
        <f>SQRT((B121^2*B80^2)+2*(B111-1)*B80)-B121*B80</f>
        <v>15.11</v>
      </c>
      <c r="E123" s="67"/>
      <c r="K123" s="50"/>
      <c r="L123" s="54" t="s">
        <v>88</v>
      </c>
      <c r="M123" s="100">
        <f>SQRT((M121^2*M80^2)+2*(M111-1)*M80)-M121*M80</f>
        <v>17.239999999999998</v>
      </c>
      <c r="Q123" s="54" t="s">
        <v>88</v>
      </c>
      <c r="R123" s="79">
        <f>SQRT((R121^2*R80^2)+2*(R111-1)*R80)-R121*R80</f>
        <v>15</v>
      </c>
      <c r="Y123" s="50"/>
      <c r="Z123" s="54" t="s">
        <v>88</v>
      </c>
      <c r="AA123" s="79">
        <f>SQRT((AA121^2*AA80^2)+2*(AA111-1)*AA80)-AA121*AA80</f>
        <v>16.3</v>
      </c>
    </row>
    <row r="124" spans="1:30" x14ac:dyDescent="0.3">
      <c r="B124" s="100">
        <f>B123*3.6</f>
        <v>54.4</v>
      </c>
      <c r="E124" s="67"/>
      <c r="K124" s="50"/>
      <c r="M124" s="100">
        <f>M123*3.6</f>
        <v>62.06</v>
      </c>
      <c r="R124" s="79">
        <f>R123*3.6</f>
        <v>54</v>
      </c>
      <c r="Y124" s="50"/>
      <c r="AA124" s="79">
        <f>AA123*3.6</f>
        <v>58.7</v>
      </c>
    </row>
    <row r="125" spans="1:30" x14ac:dyDescent="0.3">
      <c r="E125" s="67"/>
      <c r="K125" s="50"/>
      <c r="L125" s="50"/>
      <c r="Y125" s="50"/>
      <c r="Z125" s="50"/>
    </row>
    <row r="126" spans="1:30" x14ac:dyDescent="0.3">
      <c r="E126" s="67"/>
      <c r="K126" s="50"/>
      <c r="L126" s="50"/>
      <c r="Y126" s="50"/>
      <c r="Z126" s="50"/>
    </row>
    <row r="127" spans="1:30" x14ac:dyDescent="0.3">
      <c r="D127" s="52" t="s">
        <v>177</v>
      </c>
      <c r="K127" s="50"/>
      <c r="L127" s="50"/>
      <c r="T127" s="52" t="s">
        <v>177</v>
      </c>
      <c r="Y127" s="50"/>
      <c r="Z127" s="50"/>
    </row>
    <row r="128" spans="1:30" x14ac:dyDescent="0.3">
      <c r="E128" s="67"/>
      <c r="K128" s="50"/>
      <c r="L128" s="50"/>
      <c r="Y128" s="50"/>
      <c r="Z128" s="50"/>
    </row>
    <row r="129" spans="1:27" x14ac:dyDescent="0.3">
      <c r="A129" s="54" t="s">
        <v>230</v>
      </c>
      <c r="B129" s="100">
        <f>((B66-B22)/B80)</f>
        <v>0</v>
      </c>
      <c r="E129" s="67"/>
      <c r="K129" s="50"/>
      <c r="L129" s="54" t="s">
        <v>230</v>
      </c>
      <c r="M129" s="100">
        <f>((M66-M22)/M80)</f>
        <v>0</v>
      </c>
      <c r="Q129" s="54" t="s">
        <v>230</v>
      </c>
      <c r="R129" s="77">
        <f>((R64-R62)/R80)</f>
        <v>0</v>
      </c>
      <c r="Y129" s="50"/>
      <c r="Z129" s="54" t="s">
        <v>230</v>
      </c>
      <c r="AA129" s="77">
        <f>((AA64-AA62)/AA80)</f>
        <v>0</v>
      </c>
    </row>
    <row r="130" spans="1:27" x14ac:dyDescent="0.3">
      <c r="E130" s="67"/>
      <c r="K130" s="50"/>
      <c r="L130" s="50"/>
      <c r="Y130" s="50"/>
      <c r="Z130" s="50"/>
      <c r="AA130" s="63"/>
    </row>
    <row r="131" spans="1:27" x14ac:dyDescent="0.3">
      <c r="E131" s="67"/>
      <c r="K131" s="50"/>
      <c r="L131" s="50"/>
      <c r="Y131" s="50"/>
      <c r="Z131" s="50"/>
    </row>
    <row r="132" spans="1:27" x14ac:dyDescent="0.3">
      <c r="E132" s="67"/>
      <c r="K132" s="50"/>
      <c r="L132" s="50"/>
      <c r="Y132" s="50"/>
      <c r="Z132" s="50"/>
    </row>
    <row r="133" spans="1:27" x14ac:dyDescent="0.3">
      <c r="E133" s="59" t="s">
        <v>89</v>
      </c>
      <c r="I133" s="50"/>
      <c r="J133" s="50"/>
      <c r="K133" s="50"/>
      <c r="L133" s="50"/>
      <c r="T133" s="59" t="s">
        <v>89</v>
      </c>
      <c r="X133" s="50"/>
      <c r="Y133" s="50"/>
      <c r="Z133" s="50"/>
    </row>
    <row r="134" spans="1:27" x14ac:dyDescent="0.3">
      <c r="I134" s="50"/>
      <c r="J134" s="50"/>
      <c r="K134" s="50"/>
      <c r="L134" s="50"/>
      <c r="X134" s="50"/>
      <c r="Y134" s="50"/>
      <c r="Z134" s="50"/>
    </row>
    <row r="135" spans="1:27" x14ac:dyDescent="0.3">
      <c r="F135" s="50"/>
      <c r="G135" s="50"/>
      <c r="H135" s="50"/>
      <c r="I135" s="50"/>
      <c r="J135" s="50"/>
      <c r="K135" s="50"/>
      <c r="L135" s="50"/>
      <c r="U135" s="50"/>
      <c r="V135" s="50"/>
      <c r="W135" s="50"/>
      <c r="X135" s="50"/>
      <c r="Y135" s="50"/>
      <c r="Z135" s="50"/>
    </row>
    <row r="136" spans="1:27" x14ac:dyDescent="0.3">
      <c r="A136" s="54" t="s">
        <v>231</v>
      </c>
      <c r="B136" s="100">
        <f>(B77+B78+(0.5*B79))+(B81/B80)</f>
        <v>5.54</v>
      </c>
      <c r="F136" s="50"/>
      <c r="G136" s="50"/>
      <c r="H136" s="50"/>
      <c r="I136" s="50"/>
      <c r="J136" s="50"/>
      <c r="K136" s="50"/>
      <c r="L136" s="61" t="s">
        <v>231</v>
      </c>
      <c r="M136" s="104">
        <f>(M77+M78+(0.5*M79))+(M81/M80)</f>
        <v>6.26</v>
      </c>
      <c r="Q136" s="54" t="s">
        <v>231</v>
      </c>
      <c r="R136" s="77">
        <f>(R77+R78+(0.5*R79))+(R81/R80)</f>
        <v>5.49</v>
      </c>
      <c r="U136" s="50"/>
      <c r="V136" s="50"/>
      <c r="W136" s="50"/>
      <c r="X136" s="50"/>
      <c r="Y136" s="50"/>
      <c r="Z136" s="61" t="s">
        <v>231</v>
      </c>
      <c r="AA136" s="60">
        <f>(AA77+AA78+(0.5*AA79))+(AA81/AA80)</f>
        <v>6.03</v>
      </c>
    </row>
    <row r="137" spans="1:27" x14ac:dyDescent="0.3">
      <c r="F137" s="50"/>
      <c r="G137" s="50"/>
      <c r="H137" s="50"/>
      <c r="I137" s="50"/>
      <c r="J137" s="50"/>
      <c r="K137" s="50"/>
      <c r="L137" s="50"/>
      <c r="U137" s="50"/>
      <c r="V137" s="50"/>
      <c r="W137" s="50"/>
      <c r="X137" s="50"/>
      <c r="Y137" s="50"/>
      <c r="Z137" s="50"/>
    </row>
    <row r="138" spans="1:27" x14ac:dyDescent="0.3">
      <c r="F138" s="50"/>
      <c r="G138" s="50"/>
      <c r="H138" s="50"/>
      <c r="I138" s="50"/>
      <c r="J138" s="50"/>
      <c r="K138" s="50"/>
      <c r="L138" s="50"/>
      <c r="U138" s="50"/>
      <c r="V138" s="50"/>
      <c r="W138" s="50"/>
      <c r="X138" s="50"/>
      <c r="Y138" s="50"/>
      <c r="Z138" s="50"/>
    </row>
    <row r="139" spans="1:27" x14ac:dyDescent="0.3">
      <c r="F139" s="50"/>
      <c r="G139" s="50"/>
      <c r="H139" s="50"/>
      <c r="I139" s="50"/>
      <c r="J139" s="50"/>
      <c r="K139" s="50"/>
      <c r="L139" s="50"/>
      <c r="U139" s="50"/>
      <c r="V139" s="50"/>
      <c r="W139" s="50"/>
      <c r="X139" s="50"/>
      <c r="Y139" s="50"/>
      <c r="Z139" s="50"/>
    </row>
    <row r="140" spans="1:27" x14ac:dyDescent="0.3">
      <c r="F140" s="50"/>
      <c r="G140" s="50"/>
      <c r="H140" s="50"/>
      <c r="I140" s="50"/>
      <c r="J140" s="50"/>
      <c r="K140" s="50"/>
      <c r="U140" s="50"/>
      <c r="V140" s="50"/>
      <c r="W140" s="50"/>
      <c r="X140" s="50"/>
      <c r="Y140" s="50"/>
    </row>
    <row r="141" spans="1:27" x14ac:dyDescent="0.3">
      <c r="A141" s="105"/>
      <c r="B141" s="105"/>
      <c r="C141" s="105"/>
      <c r="D141" s="105"/>
      <c r="E141" s="106" t="s">
        <v>90</v>
      </c>
      <c r="F141" s="106" t="s">
        <v>91</v>
      </c>
      <c r="G141" s="105"/>
      <c r="H141" s="106"/>
      <c r="I141" s="106"/>
      <c r="J141" s="106"/>
      <c r="K141" s="106"/>
      <c r="L141" s="106"/>
      <c r="M141" s="105"/>
      <c r="Q141" s="105"/>
      <c r="R141" s="105"/>
      <c r="S141" s="105"/>
      <c r="T141" s="106" t="s">
        <v>90</v>
      </c>
      <c r="U141" s="106" t="s">
        <v>91</v>
      </c>
      <c r="V141" s="105"/>
      <c r="W141" s="106"/>
      <c r="X141" s="106"/>
      <c r="Y141" s="106"/>
      <c r="Z141" s="106"/>
      <c r="AA141" s="105"/>
    </row>
    <row r="142" spans="1:27" x14ac:dyDescent="0.3">
      <c r="A142" s="105"/>
      <c r="B142" s="105"/>
      <c r="C142" s="105"/>
      <c r="D142" s="105"/>
      <c r="E142" s="105"/>
      <c r="F142" s="106"/>
      <c r="G142" s="106"/>
      <c r="H142" s="106"/>
      <c r="I142" s="106"/>
      <c r="J142" s="106"/>
      <c r="K142" s="106"/>
      <c r="L142" s="106"/>
      <c r="M142" s="105"/>
      <c r="Q142" s="105"/>
      <c r="R142" s="105"/>
      <c r="S142" s="105"/>
      <c r="T142" s="105"/>
      <c r="U142" s="106"/>
      <c r="V142" s="106"/>
      <c r="W142" s="106"/>
      <c r="X142" s="106"/>
      <c r="Y142" s="106"/>
      <c r="Z142" s="106"/>
      <c r="AA142" s="105"/>
    </row>
    <row r="143" spans="1:27" x14ac:dyDescent="0.3">
      <c r="A143" s="105"/>
      <c r="B143" s="105"/>
      <c r="C143" s="105"/>
      <c r="D143" s="105"/>
      <c r="E143" s="105"/>
      <c r="F143" s="106"/>
      <c r="G143" s="106"/>
      <c r="H143" s="106"/>
      <c r="I143" s="106"/>
      <c r="J143" s="106"/>
      <c r="K143" s="106"/>
      <c r="L143" s="106"/>
      <c r="M143" s="105"/>
      <c r="Q143" s="105"/>
      <c r="R143" s="105"/>
      <c r="S143" s="105"/>
      <c r="T143" s="105"/>
      <c r="U143" s="106"/>
      <c r="V143" s="106"/>
      <c r="W143" s="106"/>
      <c r="X143" s="106"/>
      <c r="Y143" s="106"/>
      <c r="Z143" s="106"/>
      <c r="AA143" s="105"/>
    </row>
    <row r="144" spans="1:27" x14ac:dyDescent="0.3">
      <c r="A144" s="105"/>
      <c r="B144" s="105"/>
      <c r="C144" s="105"/>
      <c r="D144" s="105"/>
      <c r="E144" s="105"/>
      <c r="F144" s="106"/>
      <c r="G144" s="106"/>
      <c r="H144" s="106"/>
      <c r="I144" s="106"/>
      <c r="J144" s="106"/>
      <c r="K144" s="106"/>
      <c r="L144" s="106"/>
      <c r="M144" s="105"/>
      <c r="Q144" s="105"/>
      <c r="R144" s="105"/>
      <c r="S144" s="105"/>
      <c r="T144" s="105"/>
      <c r="U144" s="106"/>
      <c r="V144" s="106"/>
      <c r="W144" s="106"/>
      <c r="X144" s="106"/>
      <c r="Y144" s="106"/>
      <c r="Z144" s="106"/>
      <c r="AA144" s="105"/>
    </row>
    <row r="145" spans="1:36" x14ac:dyDescent="0.3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6"/>
      <c r="L145" s="106"/>
      <c r="M145" s="105"/>
      <c r="Q145" s="105"/>
      <c r="R145" s="105"/>
      <c r="S145" s="105"/>
      <c r="T145" s="105"/>
      <c r="U145" s="105"/>
      <c r="V145" s="105"/>
      <c r="W145" s="105"/>
      <c r="X145" s="105"/>
      <c r="Y145" s="106"/>
      <c r="Z145" s="106"/>
      <c r="AA145" s="105"/>
    </row>
    <row r="146" spans="1:36" x14ac:dyDescent="0.3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6"/>
      <c r="L146" s="106"/>
      <c r="M146" s="105"/>
      <c r="Q146" s="105"/>
      <c r="R146" s="105"/>
      <c r="S146" s="105"/>
      <c r="T146" s="105"/>
      <c r="U146" s="105"/>
      <c r="V146" s="105"/>
      <c r="W146" s="105"/>
      <c r="X146" s="105"/>
      <c r="Y146" s="106"/>
      <c r="Z146" s="106"/>
      <c r="AA146" s="105"/>
    </row>
    <row r="147" spans="1:36" x14ac:dyDescent="0.3">
      <c r="A147" s="74" t="s">
        <v>92</v>
      </c>
      <c r="B147" s="107">
        <f>(B66^2-B22^2)/(2*B58)</f>
        <v>0</v>
      </c>
      <c r="C147" s="105"/>
      <c r="D147" s="105"/>
      <c r="E147" s="105"/>
      <c r="F147" s="105"/>
      <c r="G147" s="105"/>
      <c r="H147" s="105"/>
      <c r="I147" s="105"/>
      <c r="J147" s="105"/>
      <c r="K147" s="106"/>
      <c r="L147" s="74" t="s">
        <v>92</v>
      </c>
      <c r="M147" s="107">
        <f>(M66^2-M22^2)/(2*M58)</f>
        <v>0</v>
      </c>
      <c r="Q147" s="74" t="s">
        <v>92</v>
      </c>
      <c r="R147" s="107">
        <f>(R64^2-R62^2)/(2*R58)</f>
        <v>0</v>
      </c>
      <c r="S147" s="105"/>
      <c r="T147" s="105"/>
      <c r="U147" s="105"/>
      <c r="V147" s="105"/>
      <c r="W147" s="105"/>
      <c r="X147" s="105"/>
      <c r="Y147" s="106"/>
      <c r="Z147" s="74" t="s">
        <v>92</v>
      </c>
      <c r="AA147" s="107">
        <f>(AA64^2-AA62^2)/(2*AA58)</f>
        <v>0</v>
      </c>
    </row>
    <row r="149" spans="1:36" ht="18" x14ac:dyDescent="0.35">
      <c r="A149" s="85"/>
      <c r="B149" s="85"/>
      <c r="D149" s="85"/>
      <c r="E149" s="85"/>
      <c r="F149" s="85"/>
      <c r="G149" s="85"/>
      <c r="I149" s="85"/>
      <c r="J149" s="85"/>
      <c r="M149" s="83"/>
      <c r="Q149" s="80"/>
      <c r="R149" s="80"/>
      <c r="S149" s="80"/>
      <c r="T149" s="80"/>
      <c r="U149" s="80"/>
      <c r="V149" s="80"/>
      <c r="W149" s="80"/>
      <c r="X149" s="80"/>
      <c r="Y149" s="80"/>
      <c r="AA149" s="83"/>
      <c r="AE149" s="63"/>
      <c r="AF149" s="67"/>
      <c r="AG149" s="67"/>
      <c r="AH149" s="67"/>
      <c r="AI149" s="67"/>
      <c r="AJ149" s="67"/>
    </row>
    <row r="150" spans="1:36" ht="18" x14ac:dyDescent="0.35">
      <c r="A150" s="80" t="s">
        <v>260</v>
      </c>
      <c r="B150" s="80"/>
      <c r="D150" s="80"/>
      <c r="E150" s="80"/>
      <c r="F150" s="80"/>
      <c r="G150" s="80" t="s">
        <v>260</v>
      </c>
      <c r="I150" s="80"/>
      <c r="J150" s="85"/>
      <c r="M150" s="83"/>
      <c r="Q150" s="80" t="s">
        <v>260</v>
      </c>
      <c r="R150" s="80"/>
      <c r="S150" s="80"/>
      <c r="T150" s="80"/>
      <c r="U150" s="80"/>
      <c r="V150" s="80"/>
      <c r="W150" s="80"/>
      <c r="X150" s="80"/>
      <c r="Y150" s="80"/>
      <c r="AA150" s="83"/>
      <c r="AE150" s="63"/>
      <c r="AF150" s="67"/>
      <c r="AG150" s="67"/>
      <c r="AH150" s="67"/>
      <c r="AI150" s="67"/>
      <c r="AJ150" s="67"/>
    </row>
    <row r="151" spans="1:36" ht="18" x14ac:dyDescent="0.35">
      <c r="A151" s="80"/>
      <c r="B151" s="80"/>
      <c r="C151" s="80"/>
      <c r="D151" s="80"/>
      <c r="E151" s="80"/>
      <c r="F151" s="80"/>
      <c r="G151" s="90"/>
      <c r="H151" s="90"/>
      <c r="I151" s="80"/>
      <c r="J151" s="85"/>
      <c r="M151" s="83"/>
      <c r="Q151" s="80"/>
      <c r="R151" s="80"/>
      <c r="S151" s="80"/>
      <c r="T151" s="80"/>
      <c r="U151" s="80"/>
      <c r="V151" s="90"/>
      <c r="W151" s="90"/>
      <c r="X151" s="80"/>
      <c r="Y151" s="80"/>
      <c r="AA151" s="83"/>
      <c r="AE151" s="63"/>
      <c r="AF151" s="67"/>
      <c r="AG151" s="67"/>
      <c r="AH151" s="67"/>
      <c r="AI151" s="67"/>
      <c r="AJ151" s="67"/>
    </row>
    <row r="152" spans="1:36" ht="18" x14ac:dyDescent="0.35">
      <c r="A152" s="87" t="s">
        <v>261</v>
      </c>
      <c r="B152" s="126">
        <f>C152*3.6</f>
        <v>107.3</v>
      </c>
      <c r="C152" s="129">
        <f>B22</f>
        <v>29.8</v>
      </c>
      <c r="D152" s="80"/>
      <c r="E152" s="80"/>
      <c r="F152" s="80"/>
      <c r="G152" s="87" t="s">
        <v>262</v>
      </c>
      <c r="H152" s="126">
        <f>I152*3.6</f>
        <v>120.2</v>
      </c>
      <c r="I152" s="129">
        <f>M66</f>
        <v>33.4</v>
      </c>
      <c r="J152" s="85"/>
      <c r="M152" s="83"/>
      <c r="Q152" s="87" t="s">
        <v>261</v>
      </c>
      <c r="R152" s="126">
        <f>S152*3.6</f>
        <v>106.2</v>
      </c>
      <c r="S152" s="91">
        <f>R30</f>
        <v>29.5</v>
      </c>
      <c r="T152" s="80"/>
      <c r="U152" s="80"/>
      <c r="V152" s="87" t="s">
        <v>262</v>
      </c>
      <c r="W152" s="126">
        <f>X152*3.6</f>
        <v>119.5</v>
      </c>
      <c r="X152" s="91">
        <f>Z30</f>
        <v>33.200000000000003</v>
      </c>
      <c r="Y152" s="80"/>
      <c r="AA152" s="83"/>
      <c r="AE152" s="63"/>
      <c r="AF152" s="67"/>
      <c r="AG152" s="67"/>
      <c r="AH152" s="67"/>
      <c r="AI152" s="67"/>
      <c r="AJ152" s="67"/>
    </row>
    <row r="153" spans="1:36" ht="18" x14ac:dyDescent="0.35">
      <c r="A153" s="92" t="s">
        <v>263</v>
      </c>
      <c r="B153" s="130">
        <f>C153*3.6</f>
        <v>37.799999999999997</v>
      </c>
      <c r="C153" s="140">
        <f>B10</f>
        <v>10.5</v>
      </c>
      <c r="D153" s="80"/>
      <c r="E153" s="80"/>
      <c r="F153" s="80"/>
      <c r="G153" s="92" t="s">
        <v>264</v>
      </c>
      <c r="H153" s="130">
        <f>I153*3.6</f>
        <v>56.5</v>
      </c>
      <c r="I153" s="143">
        <f>M10</f>
        <v>15.7</v>
      </c>
      <c r="J153" s="85"/>
      <c r="M153" s="83"/>
      <c r="Q153" s="92" t="s">
        <v>263</v>
      </c>
      <c r="R153" s="127">
        <f>S153*3.6</f>
        <v>37.799999999999997</v>
      </c>
      <c r="S153" s="93">
        <f>B10</f>
        <v>10.5</v>
      </c>
      <c r="T153" s="80"/>
      <c r="U153" s="80"/>
      <c r="V153" s="92" t="s">
        <v>264</v>
      </c>
      <c r="W153" s="127">
        <f>X153*3.6</f>
        <v>56.5</v>
      </c>
      <c r="X153" s="93">
        <f>M10</f>
        <v>15.7</v>
      </c>
      <c r="Y153" s="80"/>
      <c r="AA153" s="83"/>
      <c r="AE153" s="63"/>
      <c r="AF153" s="67"/>
      <c r="AG153" s="67"/>
      <c r="AH153" s="67"/>
      <c r="AI153" s="67"/>
      <c r="AJ153" s="67"/>
    </row>
    <row r="154" spans="1:36" ht="18" x14ac:dyDescent="0.35">
      <c r="A154" s="87" t="s">
        <v>265</v>
      </c>
      <c r="B154" s="122">
        <f>C154</f>
        <v>0</v>
      </c>
      <c r="C154" s="87">
        <f>B13</f>
        <v>0</v>
      </c>
      <c r="D154" s="80"/>
      <c r="E154" s="80"/>
      <c r="F154" s="80"/>
      <c r="G154" s="87" t="s">
        <v>266</v>
      </c>
      <c r="H154" s="122">
        <f>I154</f>
        <v>188</v>
      </c>
      <c r="I154" s="87">
        <f>M13</f>
        <v>188</v>
      </c>
      <c r="J154" s="85"/>
      <c r="M154" s="83"/>
      <c r="Q154" s="87" t="s">
        <v>265</v>
      </c>
      <c r="R154" s="87">
        <f>S154</f>
        <v>0</v>
      </c>
      <c r="S154" s="87">
        <f>B13</f>
        <v>0</v>
      </c>
      <c r="T154" s="80"/>
      <c r="U154" s="80"/>
      <c r="V154" s="87" t="s">
        <v>266</v>
      </c>
      <c r="W154" s="122">
        <f>X154</f>
        <v>188</v>
      </c>
      <c r="X154" s="87">
        <f>M13</f>
        <v>188</v>
      </c>
      <c r="Y154" s="80"/>
      <c r="AA154" s="83"/>
      <c r="AE154" s="63"/>
      <c r="AF154" s="67"/>
      <c r="AG154" s="67"/>
      <c r="AH154" s="67"/>
      <c r="AI154" s="67"/>
      <c r="AJ154" s="67"/>
    </row>
    <row r="155" spans="1:36" ht="18" x14ac:dyDescent="0.35">
      <c r="A155" s="92" t="s">
        <v>267</v>
      </c>
      <c r="B155" s="123">
        <f>C155</f>
        <v>341</v>
      </c>
      <c r="C155" s="92">
        <f>B14</f>
        <v>341</v>
      </c>
      <c r="D155" s="80"/>
      <c r="E155" s="80"/>
      <c r="F155" s="80"/>
      <c r="G155" s="92" t="s">
        <v>268</v>
      </c>
      <c r="H155" s="123">
        <f>I155</f>
        <v>186</v>
      </c>
      <c r="I155" s="92">
        <f>M14</f>
        <v>186</v>
      </c>
      <c r="J155" s="85"/>
      <c r="M155" s="83"/>
      <c r="Q155" s="92" t="s">
        <v>267</v>
      </c>
      <c r="R155" s="112">
        <f>S155</f>
        <v>341</v>
      </c>
      <c r="S155" s="92">
        <f>B14</f>
        <v>341</v>
      </c>
      <c r="T155" s="80"/>
      <c r="U155" s="80"/>
      <c r="V155" s="92" t="s">
        <v>268</v>
      </c>
      <c r="W155" s="124">
        <f>X155</f>
        <v>186</v>
      </c>
      <c r="X155" s="92">
        <f>M14</f>
        <v>186</v>
      </c>
      <c r="Y155" s="80"/>
      <c r="AA155" s="83"/>
      <c r="AE155" s="63"/>
      <c r="AF155" s="67"/>
      <c r="AG155" s="67"/>
      <c r="AH155" s="67"/>
      <c r="AI155" s="67"/>
      <c r="AJ155" s="67"/>
    </row>
    <row r="156" spans="1:36" ht="18" x14ac:dyDescent="0.35">
      <c r="A156" s="87" t="s">
        <v>258</v>
      </c>
      <c r="B156" s="126">
        <f>SQRT((B174^2)+(C174^2))</f>
        <v>72.599999999999994</v>
      </c>
      <c r="C156" s="129">
        <f>B156/3.6</f>
        <v>20.2</v>
      </c>
      <c r="D156" s="80"/>
      <c r="E156" s="80"/>
      <c r="F156" s="80"/>
      <c r="G156" s="87" t="s">
        <v>259</v>
      </c>
      <c r="H156" s="126">
        <f>SQRT((H174^2)+(I174^2))</f>
        <v>63.7</v>
      </c>
      <c r="I156" s="129">
        <f>H156/3.6</f>
        <v>17.7</v>
      </c>
      <c r="J156" s="85"/>
      <c r="M156" s="83"/>
      <c r="Q156" s="87" t="s">
        <v>258</v>
      </c>
      <c r="R156" s="126">
        <f>(SQRT((R174^2)+(S174^2)))</f>
        <v>71.599999999999994</v>
      </c>
      <c r="S156" s="129">
        <f>R156/3.6</f>
        <v>19.899999999999999</v>
      </c>
      <c r="T156" s="80"/>
      <c r="U156" s="80"/>
      <c r="V156" s="87" t="s">
        <v>259</v>
      </c>
      <c r="W156" s="126">
        <f>SQRT((W174^2)+(X174^2))</f>
        <v>63</v>
      </c>
      <c r="X156" s="129">
        <f>W156/3.6</f>
        <v>17.5</v>
      </c>
      <c r="Y156" s="80"/>
      <c r="AA156" s="83"/>
      <c r="AE156" s="63"/>
      <c r="AF156" s="67"/>
      <c r="AG156" s="67"/>
      <c r="AH156" s="67"/>
      <c r="AI156" s="67"/>
      <c r="AJ156" s="67"/>
    </row>
    <row r="157" spans="1:36" ht="18" x14ac:dyDescent="0.35">
      <c r="C157" s="80"/>
      <c r="D157" s="80"/>
      <c r="E157" s="80"/>
      <c r="F157" s="80"/>
      <c r="I157" s="80"/>
      <c r="J157" s="85"/>
      <c r="M157" s="83"/>
      <c r="S157" s="80"/>
      <c r="T157" s="80"/>
      <c r="U157" s="80"/>
      <c r="X157" s="80"/>
      <c r="Y157" s="80"/>
      <c r="AA157" s="83"/>
      <c r="AE157" s="63"/>
      <c r="AF157" s="67"/>
      <c r="AG157" s="67"/>
      <c r="AH157" s="67"/>
      <c r="AI157" s="67"/>
      <c r="AJ157" s="67"/>
    </row>
    <row r="158" spans="1:36" ht="18" x14ac:dyDescent="0.35">
      <c r="A158" s="80"/>
      <c r="B158" s="80"/>
      <c r="C158" s="80"/>
      <c r="D158" s="80"/>
      <c r="E158" s="80"/>
      <c r="F158" s="80"/>
      <c r="G158" s="80"/>
      <c r="H158" s="80"/>
      <c r="I158" s="80"/>
      <c r="J158" s="85"/>
      <c r="M158" s="83"/>
      <c r="Q158" s="80"/>
      <c r="R158" s="80"/>
      <c r="S158" s="80"/>
      <c r="T158" s="80"/>
      <c r="U158" s="80"/>
      <c r="V158" s="80"/>
      <c r="W158" s="80"/>
      <c r="X158" s="80"/>
      <c r="Y158" s="80"/>
      <c r="AA158" s="83"/>
      <c r="AE158" s="63"/>
      <c r="AF158" s="67"/>
      <c r="AG158" s="67"/>
      <c r="AH158" s="67"/>
      <c r="AI158" s="67"/>
      <c r="AJ158" s="67"/>
    </row>
    <row r="159" spans="1:36" ht="18" x14ac:dyDescent="0.35">
      <c r="A159" s="80"/>
      <c r="B159" s="80"/>
      <c r="C159" s="80"/>
      <c r="D159" s="80"/>
      <c r="E159" s="80"/>
      <c r="F159" s="80"/>
      <c r="G159" s="80"/>
      <c r="H159" s="80"/>
      <c r="I159" s="80"/>
      <c r="J159" s="85"/>
      <c r="M159" s="83"/>
      <c r="Q159" s="80"/>
      <c r="R159" s="80"/>
      <c r="S159" s="80"/>
      <c r="T159" s="80"/>
      <c r="U159" s="80"/>
      <c r="V159" s="80"/>
      <c r="W159" s="80"/>
      <c r="X159" s="80"/>
      <c r="Y159" s="80"/>
      <c r="AA159" s="83"/>
      <c r="AE159" s="63"/>
      <c r="AF159" s="67"/>
      <c r="AG159" s="67"/>
      <c r="AH159" s="67"/>
      <c r="AI159" s="67"/>
      <c r="AJ159" s="67"/>
    </row>
    <row r="160" spans="1:36" ht="18" x14ac:dyDescent="0.35">
      <c r="A160" s="80" t="s">
        <v>274</v>
      </c>
      <c r="B160" s="80"/>
      <c r="C160" s="80"/>
      <c r="D160" s="80"/>
      <c r="E160" s="147" t="s">
        <v>301</v>
      </c>
      <c r="F160" s="147">
        <v>1</v>
      </c>
      <c r="G160" s="80"/>
      <c r="H160" s="80"/>
      <c r="I160" s="80"/>
      <c r="J160" s="85"/>
      <c r="M160" s="83"/>
      <c r="Q160" s="80"/>
      <c r="R160" s="80"/>
      <c r="S160" s="80"/>
      <c r="T160" s="147" t="s">
        <v>301</v>
      </c>
      <c r="U160" s="147">
        <f>F160</f>
        <v>1</v>
      </c>
      <c r="V160" s="80"/>
      <c r="W160" s="80"/>
      <c r="X160" s="80"/>
      <c r="Y160" s="80"/>
      <c r="AA160" s="83"/>
      <c r="AE160" s="63"/>
      <c r="AF160" s="67"/>
      <c r="AG160" s="67"/>
      <c r="AH160" s="67"/>
      <c r="AI160" s="67"/>
      <c r="AJ160" s="67"/>
    </row>
    <row r="161" spans="1:36" ht="18" x14ac:dyDescent="0.35">
      <c r="A161" s="80"/>
      <c r="B161" s="80"/>
      <c r="C161" s="80"/>
      <c r="D161" s="80"/>
      <c r="E161" s="80"/>
      <c r="F161" s="80"/>
      <c r="G161" s="80"/>
      <c r="H161" s="80"/>
      <c r="I161" s="80"/>
      <c r="J161" s="85"/>
      <c r="M161" s="83"/>
      <c r="Q161" s="80"/>
      <c r="R161" s="80"/>
      <c r="S161" s="80"/>
      <c r="T161" s="80"/>
      <c r="U161" s="80"/>
      <c r="V161" s="80"/>
      <c r="W161" s="80"/>
      <c r="X161" s="80"/>
      <c r="Y161" s="80"/>
      <c r="AA161" s="83"/>
      <c r="AE161" s="63"/>
      <c r="AF161" s="67"/>
      <c r="AG161" s="67"/>
      <c r="AH161" s="67"/>
      <c r="AI161" s="67"/>
      <c r="AJ161" s="67"/>
    </row>
    <row r="162" spans="1:36" ht="18" x14ac:dyDescent="0.35">
      <c r="A162" s="86" t="s">
        <v>249</v>
      </c>
      <c r="B162" s="114" t="s">
        <v>250</v>
      </c>
      <c r="C162" s="114" t="s">
        <v>251</v>
      </c>
      <c r="D162" s="80"/>
      <c r="E162" s="80"/>
      <c r="F162" s="80"/>
      <c r="G162" s="86" t="s">
        <v>252</v>
      </c>
      <c r="H162" s="114" t="s">
        <v>250</v>
      </c>
      <c r="I162" s="114" t="s">
        <v>251</v>
      </c>
      <c r="J162" s="85"/>
      <c r="M162" s="83"/>
      <c r="Q162" s="86" t="s">
        <v>249</v>
      </c>
      <c r="R162" s="87" t="s">
        <v>250</v>
      </c>
      <c r="S162" s="87" t="s">
        <v>251</v>
      </c>
      <c r="T162" s="80"/>
      <c r="U162" s="80"/>
      <c r="V162" s="86" t="s">
        <v>252</v>
      </c>
      <c r="W162" s="87" t="s">
        <v>250</v>
      </c>
      <c r="X162" s="87" t="s">
        <v>251</v>
      </c>
      <c r="Y162" s="80"/>
      <c r="AA162" s="83"/>
      <c r="AE162" s="63"/>
      <c r="AF162" s="67"/>
      <c r="AG162" s="67"/>
      <c r="AH162" s="67"/>
      <c r="AI162" s="67"/>
      <c r="AJ162" s="67"/>
    </row>
    <row r="163" spans="1:36" ht="18" x14ac:dyDescent="0.35">
      <c r="A163" s="87" t="s">
        <v>253</v>
      </c>
      <c r="B163" s="132">
        <f>(-B152*COS(RADIANS(B154)))*F160</f>
        <v>-107.3</v>
      </c>
      <c r="C163" s="132">
        <f>(-B152*SIN(RADIANS(B154)))*F160</f>
        <v>0</v>
      </c>
      <c r="D163" s="80"/>
      <c r="E163" s="80"/>
      <c r="F163" s="80"/>
      <c r="G163" s="87" t="s">
        <v>253</v>
      </c>
      <c r="H163" s="132">
        <f>(-H152*COS(RADIANS(H154)))*F160</f>
        <v>119</v>
      </c>
      <c r="I163" s="132">
        <f>(-H152*SIN(RADIANS(H154)))*F160</f>
        <v>16.7</v>
      </c>
      <c r="J163" s="85"/>
      <c r="M163" s="83"/>
      <c r="Q163" s="87" t="s">
        <v>253</v>
      </c>
      <c r="R163" s="128">
        <f>(-R152*COS(RADIANS(R154)))*U160</f>
        <v>-106.2</v>
      </c>
      <c r="S163" s="128">
        <f>(-R152*SIN(RADIANS(R154)))*U160</f>
        <v>0</v>
      </c>
      <c r="T163" s="80"/>
      <c r="U163" s="80"/>
      <c r="V163" s="87" t="s">
        <v>253</v>
      </c>
      <c r="W163" s="128">
        <f>(-W152*COS(RADIANS(W154)))*U160</f>
        <v>118.3</v>
      </c>
      <c r="X163" s="128">
        <f>(-W152*SIN(RADIANS(W154)))*U160</f>
        <v>16.600000000000001</v>
      </c>
      <c r="Y163" s="80"/>
      <c r="AA163" s="83"/>
      <c r="AE163" s="63"/>
      <c r="AF163" s="67"/>
      <c r="AG163" s="67"/>
      <c r="AH163" s="67"/>
      <c r="AI163" s="67"/>
      <c r="AJ163" s="67"/>
    </row>
    <row r="164" spans="1:36" ht="18" x14ac:dyDescent="0.35">
      <c r="A164" s="87" t="s">
        <v>254</v>
      </c>
      <c r="B164" s="132">
        <v>0</v>
      </c>
      <c r="C164" s="132">
        <v>0</v>
      </c>
      <c r="D164" s="80"/>
      <c r="E164" s="80"/>
      <c r="F164" s="80"/>
      <c r="G164" s="87" t="s">
        <v>254</v>
      </c>
      <c r="H164" s="132">
        <v>0</v>
      </c>
      <c r="I164" s="132">
        <v>0</v>
      </c>
      <c r="J164" s="85"/>
      <c r="M164" s="83"/>
      <c r="Q164" s="87" t="s">
        <v>254</v>
      </c>
      <c r="R164" s="89">
        <v>0</v>
      </c>
      <c r="S164" s="89">
        <v>0</v>
      </c>
      <c r="T164" s="80"/>
      <c r="U164" s="80"/>
      <c r="V164" s="87" t="s">
        <v>254</v>
      </c>
      <c r="W164" s="128">
        <v>0</v>
      </c>
      <c r="X164" s="128">
        <v>0</v>
      </c>
      <c r="Y164" s="80"/>
      <c r="AA164" s="83"/>
      <c r="AE164" s="63"/>
      <c r="AF164" s="67"/>
      <c r="AG164" s="67"/>
      <c r="AH164" s="67"/>
      <c r="AI164" s="67"/>
      <c r="AJ164" s="67"/>
    </row>
    <row r="165" spans="1:36" ht="18" x14ac:dyDescent="0.35">
      <c r="A165" s="80"/>
      <c r="B165" s="133"/>
      <c r="C165" s="133"/>
      <c r="D165" s="80"/>
      <c r="E165" s="80"/>
      <c r="F165" s="80"/>
      <c r="G165" s="80"/>
      <c r="H165" s="133"/>
      <c r="I165" s="133"/>
      <c r="J165" s="85"/>
      <c r="M165" s="83"/>
      <c r="Q165" s="80"/>
      <c r="R165" s="94"/>
      <c r="S165" s="94"/>
      <c r="T165" s="80"/>
      <c r="U165" s="80"/>
      <c r="V165" s="80"/>
      <c r="W165" s="94"/>
      <c r="X165" s="94"/>
      <c r="Y165" s="80"/>
      <c r="AA165" s="83"/>
      <c r="AE165" s="63"/>
      <c r="AF165" s="67"/>
      <c r="AG165" s="67"/>
      <c r="AH165" s="67"/>
      <c r="AI165" s="67"/>
      <c r="AJ165" s="67"/>
    </row>
    <row r="166" spans="1:36" ht="18" x14ac:dyDescent="0.35">
      <c r="A166" s="80"/>
      <c r="B166" s="133"/>
      <c r="C166" s="133"/>
      <c r="D166" s="80"/>
      <c r="E166" s="80"/>
      <c r="F166" s="80"/>
      <c r="G166" s="80"/>
      <c r="H166" s="133"/>
      <c r="I166" s="133"/>
      <c r="J166" s="85"/>
      <c r="M166" s="83"/>
      <c r="Q166" s="80"/>
      <c r="R166" s="94"/>
      <c r="S166" s="94"/>
      <c r="T166" s="80"/>
      <c r="U166" s="80"/>
      <c r="V166" s="80"/>
      <c r="W166" s="94"/>
      <c r="X166" s="94"/>
      <c r="Y166" s="80"/>
      <c r="AA166" s="83"/>
      <c r="AE166" s="63"/>
      <c r="AF166" s="67"/>
      <c r="AG166" s="67"/>
      <c r="AH166" s="67"/>
      <c r="AI166" s="67"/>
      <c r="AJ166" s="67"/>
    </row>
    <row r="167" spans="1:36" ht="18" x14ac:dyDescent="0.35">
      <c r="A167" s="86" t="s">
        <v>255</v>
      </c>
      <c r="B167" s="115" t="s">
        <v>250</v>
      </c>
      <c r="C167" s="115" t="s">
        <v>251</v>
      </c>
      <c r="D167" s="80"/>
      <c r="E167" s="80"/>
      <c r="F167" s="80"/>
      <c r="G167" s="86" t="s">
        <v>256</v>
      </c>
      <c r="H167" s="115" t="s">
        <v>250</v>
      </c>
      <c r="I167" s="115" t="s">
        <v>251</v>
      </c>
      <c r="J167" s="85"/>
      <c r="M167" s="83"/>
      <c r="Q167" s="86" t="s">
        <v>255</v>
      </c>
      <c r="R167" s="95" t="s">
        <v>250</v>
      </c>
      <c r="S167" s="95" t="s">
        <v>251</v>
      </c>
      <c r="T167" s="80"/>
      <c r="U167" s="80"/>
      <c r="V167" s="86" t="s">
        <v>256</v>
      </c>
      <c r="W167" s="95" t="s">
        <v>250</v>
      </c>
      <c r="X167" s="95" t="s">
        <v>251</v>
      </c>
      <c r="Y167" s="80"/>
      <c r="AA167" s="83"/>
      <c r="AE167" s="63"/>
      <c r="AF167" s="67"/>
      <c r="AG167" s="67"/>
      <c r="AH167" s="67"/>
      <c r="AI167" s="67"/>
      <c r="AJ167" s="67"/>
    </row>
    <row r="168" spans="1:36" ht="18" x14ac:dyDescent="0.35">
      <c r="A168" s="87" t="s">
        <v>253</v>
      </c>
      <c r="B168" s="132">
        <f>B163</f>
        <v>-107.3</v>
      </c>
      <c r="C168" s="132">
        <f>C163</f>
        <v>0</v>
      </c>
      <c r="D168" s="80"/>
      <c r="E168" s="80"/>
      <c r="F168" s="80"/>
      <c r="G168" s="87" t="s">
        <v>253</v>
      </c>
      <c r="H168" s="132">
        <f>H163</f>
        <v>119</v>
      </c>
      <c r="I168" s="132">
        <f>I163</f>
        <v>16.7</v>
      </c>
      <c r="J168" s="85"/>
      <c r="M168" s="83"/>
      <c r="Q168" s="87" t="s">
        <v>253</v>
      </c>
      <c r="R168" s="128">
        <f>R163</f>
        <v>-106.2</v>
      </c>
      <c r="S168" s="89">
        <f>S163</f>
        <v>0</v>
      </c>
      <c r="T168" s="80"/>
      <c r="U168" s="80"/>
      <c r="V168" s="87" t="s">
        <v>253</v>
      </c>
      <c r="W168" s="128">
        <f>W163</f>
        <v>118.3</v>
      </c>
      <c r="X168" s="128">
        <f>X163</f>
        <v>16.600000000000001</v>
      </c>
      <c r="Y168" s="80"/>
      <c r="AA168" s="83"/>
      <c r="AE168" s="63"/>
      <c r="AF168" s="67"/>
      <c r="AG168" s="67"/>
      <c r="AH168" s="67"/>
      <c r="AI168" s="67"/>
      <c r="AJ168" s="67"/>
    </row>
    <row r="169" spans="1:36" ht="18" x14ac:dyDescent="0.35">
      <c r="A169" s="87" t="s">
        <v>254</v>
      </c>
      <c r="B169" s="132">
        <f>((-B152*COS(RADIANS(B154)))+(B153*COS(RADIANS(B155))))*F160</f>
        <v>-71.599999999999994</v>
      </c>
      <c r="C169" s="132">
        <f>((-B152*SIN(RADIANS(B154)))+(B153*SIN(RADIANS(B155))))*F160</f>
        <v>-12.3</v>
      </c>
      <c r="D169" s="80"/>
      <c r="E169" s="80"/>
      <c r="F169" s="80"/>
      <c r="G169" s="87" t="s">
        <v>254</v>
      </c>
      <c r="H169" s="132">
        <f>((-H152*COS(RADIANS(H154)))+(H153*COS(RADIANS(H155))))*F160</f>
        <v>62.8</v>
      </c>
      <c r="I169" s="132">
        <f>((-H152*SIN(RADIANS(H154)))+(H153*SIN(RADIANS(H155))))*F160</f>
        <v>10.8</v>
      </c>
      <c r="J169" s="85"/>
      <c r="M169" s="83"/>
      <c r="Q169" s="87" t="s">
        <v>254</v>
      </c>
      <c r="R169" s="128">
        <f>((-R152*COS(RADIANS(R154)))+(R153*COS(RADIANS(R155))))*U160</f>
        <v>-70.5</v>
      </c>
      <c r="S169" s="128">
        <f>((-R152*SIN(RADIANS(R154)))+(R153*SIN(RADIANS(R155))))*U160</f>
        <v>-12.3</v>
      </c>
      <c r="T169" s="80"/>
      <c r="U169" s="80"/>
      <c r="V169" s="87" t="s">
        <v>254</v>
      </c>
      <c r="W169" s="128">
        <f>((-W152*COS(RADIANS(W154)))+(W153*COS(RADIANS(W155))))*U160</f>
        <v>62.1</v>
      </c>
      <c r="X169" s="128">
        <f>((-W152*SIN(RADIANS(W154)))+(W153*SIN(RADIANS(W155))))*U160</f>
        <v>10.7</v>
      </c>
      <c r="Y169" s="80"/>
      <c r="AA169" s="83"/>
      <c r="AE169" s="63"/>
      <c r="AF169" s="67"/>
      <c r="AG169" s="67"/>
      <c r="AH169" s="67"/>
      <c r="AI169" s="67"/>
      <c r="AJ169" s="67"/>
    </row>
    <row r="170" spans="1:36" ht="18" x14ac:dyDescent="0.35">
      <c r="A170" s="80"/>
      <c r="B170" s="133"/>
      <c r="C170" s="133"/>
      <c r="D170" s="80"/>
      <c r="E170" s="80"/>
      <c r="F170" s="80"/>
      <c r="G170" s="80"/>
      <c r="H170" s="133"/>
      <c r="I170" s="133"/>
      <c r="J170" s="85"/>
      <c r="M170" s="83"/>
      <c r="Q170" s="80"/>
      <c r="R170" s="94"/>
      <c r="S170" s="94"/>
      <c r="T170" s="80"/>
      <c r="U170" s="80"/>
      <c r="V170" s="80"/>
      <c r="W170" s="94"/>
      <c r="X170" s="94"/>
      <c r="Y170" s="80"/>
      <c r="AA170" s="83"/>
      <c r="AE170" s="63"/>
      <c r="AF170" s="67"/>
      <c r="AG170" s="67"/>
      <c r="AH170" s="67"/>
      <c r="AI170" s="67"/>
      <c r="AJ170" s="67"/>
    </row>
    <row r="171" spans="1:36" ht="18" x14ac:dyDescent="0.35">
      <c r="A171" s="80"/>
      <c r="B171" s="133"/>
      <c r="C171" s="133"/>
      <c r="D171" s="80"/>
      <c r="E171" s="80"/>
      <c r="F171" s="80"/>
      <c r="G171" s="80"/>
      <c r="H171" s="133"/>
      <c r="I171" s="133"/>
      <c r="J171" s="85"/>
      <c r="M171" s="83"/>
      <c r="Q171" s="80"/>
      <c r="R171" s="94"/>
      <c r="S171" s="94"/>
      <c r="T171" s="80"/>
      <c r="U171" s="80"/>
      <c r="V171" s="80"/>
      <c r="W171" s="94"/>
      <c r="X171" s="94"/>
      <c r="Y171" s="80"/>
      <c r="AA171" s="83"/>
      <c r="AE171" s="63"/>
      <c r="AF171" s="67"/>
      <c r="AG171" s="67"/>
      <c r="AH171" s="67"/>
      <c r="AI171" s="67"/>
      <c r="AJ171" s="67"/>
    </row>
    <row r="172" spans="1:36" ht="18" x14ac:dyDescent="0.35">
      <c r="A172" s="86" t="s">
        <v>275</v>
      </c>
      <c r="B172" s="115" t="s">
        <v>250</v>
      </c>
      <c r="C172" s="115" t="s">
        <v>251</v>
      </c>
      <c r="D172" s="80"/>
      <c r="E172" s="80"/>
      <c r="F172" s="80"/>
      <c r="G172" s="86" t="s">
        <v>257</v>
      </c>
      <c r="H172" s="115" t="s">
        <v>250</v>
      </c>
      <c r="I172" s="115" t="s">
        <v>251</v>
      </c>
      <c r="J172" s="85"/>
      <c r="M172" s="83"/>
      <c r="Q172" s="86" t="s">
        <v>275</v>
      </c>
      <c r="R172" s="95" t="s">
        <v>250</v>
      </c>
      <c r="S172" s="95" t="s">
        <v>251</v>
      </c>
      <c r="T172" s="80"/>
      <c r="U172" s="80"/>
      <c r="V172" s="86" t="s">
        <v>257</v>
      </c>
      <c r="W172" s="95" t="s">
        <v>250</v>
      </c>
      <c r="X172" s="95" t="s">
        <v>251</v>
      </c>
      <c r="Y172" s="80"/>
      <c r="AA172" s="83"/>
      <c r="AE172" s="63"/>
      <c r="AF172" s="67"/>
      <c r="AG172" s="67"/>
      <c r="AH172" s="67"/>
      <c r="AI172" s="67"/>
      <c r="AJ172" s="67"/>
    </row>
    <row r="173" spans="1:36" ht="18" x14ac:dyDescent="0.35">
      <c r="A173" s="87" t="s">
        <v>253</v>
      </c>
      <c r="B173" s="132">
        <v>0</v>
      </c>
      <c r="C173" s="132">
        <v>0</v>
      </c>
      <c r="D173" s="80"/>
      <c r="E173" s="80"/>
      <c r="F173" s="80"/>
      <c r="G173" s="87" t="s">
        <v>253</v>
      </c>
      <c r="H173" s="132">
        <v>0</v>
      </c>
      <c r="I173" s="132">
        <v>0</v>
      </c>
      <c r="J173" s="85"/>
      <c r="M173" s="83"/>
      <c r="Q173" s="87" t="s">
        <v>253</v>
      </c>
      <c r="R173" s="89">
        <v>0</v>
      </c>
      <c r="S173" s="89">
        <v>0</v>
      </c>
      <c r="T173" s="80"/>
      <c r="U173" s="80"/>
      <c r="V173" s="87" t="s">
        <v>253</v>
      </c>
      <c r="W173" s="128">
        <v>0</v>
      </c>
      <c r="X173" s="128">
        <v>0</v>
      </c>
      <c r="Y173" s="80"/>
      <c r="AA173" s="83"/>
      <c r="AE173" s="63"/>
      <c r="AF173" s="67"/>
      <c r="AG173" s="67"/>
      <c r="AH173" s="67"/>
      <c r="AI173" s="67"/>
      <c r="AJ173" s="67"/>
    </row>
    <row r="174" spans="1:36" ht="18" x14ac:dyDescent="0.35">
      <c r="A174" s="87" t="s">
        <v>254</v>
      </c>
      <c r="B174" s="132">
        <f>B169</f>
        <v>-71.599999999999994</v>
      </c>
      <c r="C174" s="132">
        <f>C169</f>
        <v>-12.3</v>
      </c>
      <c r="D174" s="80"/>
      <c r="E174" s="80"/>
      <c r="F174" s="80"/>
      <c r="G174" s="87" t="s">
        <v>254</v>
      </c>
      <c r="H174" s="132">
        <f>H169</f>
        <v>62.8</v>
      </c>
      <c r="I174" s="132">
        <f>I169</f>
        <v>10.8</v>
      </c>
      <c r="J174" s="85"/>
      <c r="M174" s="83"/>
      <c r="Q174" s="87" t="s">
        <v>254</v>
      </c>
      <c r="R174" s="128">
        <f>R169</f>
        <v>-70.5</v>
      </c>
      <c r="S174" s="128">
        <f>S169</f>
        <v>-12.3</v>
      </c>
      <c r="T174" s="80"/>
      <c r="U174" s="80"/>
      <c r="V174" s="87" t="s">
        <v>254</v>
      </c>
      <c r="W174" s="128">
        <f>W169</f>
        <v>62.1</v>
      </c>
      <c r="X174" s="128">
        <f>X169</f>
        <v>10.7</v>
      </c>
      <c r="Y174" s="80"/>
      <c r="AA174" s="83"/>
      <c r="AE174" s="63"/>
      <c r="AF174" s="67"/>
      <c r="AG174" s="67"/>
      <c r="AH174" s="67"/>
      <c r="AI174" s="67"/>
      <c r="AJ174" s="67"/>
    </row>
    <row r="175" spans="1:36" ht="18" x14ac:dyDescent="0.35">
      <c r="A175" s="80"/>
      <c r="B175" s="80"/>
      <c r="C175" s="80"/>
      <c r="D175" s="80"/>
      <c r="E175" s="80"/>
      <c r="F175" s="80"/>
      <c r="G175" s="80"/>
      <c r="H175" s="80"/>
      <c r="I175" s="80"/>
      <c r="J175" s="85"/>
      <c r="M175" s="83"/>
      <c r="Q175" s="80"/>
      <c r="R175" s="80"/>
      <c r="S175" s="80"/>
      <c r="T175" s="80"/>
      <c r="U175" s="80"/>
      <c r="V175" s="80"/>
      <c r="W175" s="80"/>
      <c r="X175" s="80"/>
      <c r="Y175" s="80"/>
      <c r="AA175" s="83"/>
      <c r="AE175" s="63"/>
      <c r="AF175" s="67"/>
      <c r="AG175" s="67"/>
      <c r="AH175" s="67"/>
      <c r="AI175" s="67"/>
      <c r="AJ175" s="67"/>
    </row>
    <row r="176" spans="1:36" ht="18" x14ac:dyDescent="0.35">
      <c r="A176" s="80"/>
      <c r="B176" s="94">
        <f>DEGREES(ATAN(C174/B174))</f>
        <v>9.75</v>
      </c>
      <c r="C176" s="80"/>
      <c r="D176" s="80"/>
      <c r="E176" s="80"/>
      <c r="F176" s="80"/>
      <c r="G176" s="80"/>
      <c r="H176" s="94">
        <f>DEGREES(ATAN(I174/H174))</f>
        <v>9.76</v>
      </c>
      <c r="I176" s="80"/>
      <c r="J176" s="85"/>
      <c r="M176" s="83"/>
      <c r="Q176" s="80"/>
      <c r="R176" s="80">
        <f>DEGREES(ATAN(S174/R174))</f>
        <v>9.8966719676691</v>
      </c>
      <c r="S176" s="80"/>
      <c r="T176" s="80"/>
      <c r="U176" s="80"/>
      <c r="V176" s="80"/>
      <c r="W176" s="80">
        <f>DEGREES(ATAN(X174/W174))</f>
        <v>9.7762275905550293</v>
      </c>
      <c r="X176" s="80"/>
      <c r="Y176" s="80"/>
      <c r="AA176" s="83"/>
      <c r="AE176" s="63"/>
      <c r="AF176" s="67"/>
      <c r="AG176" s="67"/>
      <c r="AH176" s="67"/>
      <c r="AI176" s="67"/>
      <c r="AJ176" s="67"/>
    </row>
    <row r="177" spans="1:36" x14ac:dyDescent="0.3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M177" s="83"/>
      <c r="Q177" s="85"/>
      <c r="R177" s="85"/>
      <c r="S177" s="85"/>
      <c r="T177" s="85"/>
      <c r="U177" s="85"/>
      <c r="V177" s="85"/>
      <c r="W177" s="85"/>
      <c r="X177" s="85"/>
      <c r="AA177" s="83"/>
      <c r="AE177" s="63"/>
      <c r="AF177" s="67"/>
      <c r="AG177" s="67"/>
      <c r="AH177" s="67"/>
      <c r="AI177" s="67"/>
      <c r="AJ177" s="67"/>
    </row>
    <row r="178" spans="1:36" x14ac:dyDescent="0.3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M178" s="83"/>
      <c r="Q178" s="84"/>
      <c r="R178" s="84"/>
      <c r="S178" s="84"/>
      <c r="T178" s="84"/>
      <c r="U178" s="84"/>
      <c r="V178" s="84"/>
      <c r="W178" s="84"/>
      <c r="X178" s="84"/>
      <c r="AA178" s="83"/>
      <c r="AE178" s="63"/>
      <c r="AF178" s="67"/>
      <c r="AG178" s="67"/>
      <c r="AH178" s="67"/>
      <c r="AI178" s="67"/>
      <c r="AJ178" s="67"/>
    </row>
    <row r="179" spans="1:36" x14ac:dyDescent="0.3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M179" s="83"/>
      <c r="Q179" s="84"/>
      <c r="R179" s="84"/>
      <c r="S179" s="84"/>
      <c r="T179" s="84"/>
      <c r="U179" s="84"/>
      <c r="V179" s="84"/>
      <c r="W179" s="84"/>
      <c r="X179" s="84"/>
      <c r="AA179" s="83"/>
      <c r="AE179" s="63"/>
      <c r="AF179" s="67"/>
      <c r="AG179" s="67"/>
      <c r="AH179" s="67"/>
      <c r="AI179" s="67"/>
      <c r="AJ179" s="67"/>
    </row>
    <row r="180" spans="1:36" x14ac:dyDescent="0.3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M180" s="83"/>
      <c r="Q180" s="84"/>
      <c r="R180" s="84"/>
      <c r="S180" s="84"/>
      <c r="T180" s="84"/>
      <c r="U180" s="84"/>
      <c r="V180" s="84"/>
      <c r="W180" s="84"/>
      <c r="X180" s="84"/>
      <c r="AA180" s="83"/>
      <c r="AE180" s="63"/>
      <c r="AF180" s="67"/>
      <c r="AG180" s="67"/>
      <c r="AH180" s="67"/>
      <c r="AI180" s="67"/>
      <c r="AJ180" s="67"/>
    </row>
    <row r="181" spans="1:36" x14ac:dyDescent="0.3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M181" s="83"/>
      <c r="Q181" s="84"/>
      <c r="R181" s="84"/>
      <c r="S181" s="84"/>
      <c r="T181" s="84"/>
      <c r="U181" s="84"/>
      <c r="V181" s="84"/>
      <c r="W181" s="84"/>
      <c r="X181" s="84"/>
      <c r="AA181" s="83"/>
      <c r="AE181" s="63"/>
      <c r="AF181" s="67"/>
      <c r="AG181" s="67"/>
      <c r="AH181" s="67"/>
      <c r="AI181" s="67"/>
      <c r="AJ181" s="67"/>
    </row>
    <row r="278" spans="5:7" x14ac:dyDescent="0.3">
      <c r="E278" s="50"/>
    </row>
    <row r="281" spans="5:7" x14ac:dyDescent="0.3">
      <c r="F281" s="62"/>
      <c r="G281" s="62"/>
    </row>
    <row r="282" spans="5:7" x14ac:dyDescent="0.3">
      <c r="F282" s="50"/>
      <c r="G282" s="50"/>
    </row>
    <row r="292" spans="5:16" s="67" customFormat="1" x14ac:dyDescent="0.3">
      <c r="E292" s="49"/>
      <c r="P292" s="142"/>
    </row>
    <row r="293" spans="5:16" s="67" customFormat="1" x14ac:dyDescent="0.3">
      <c r="E293" s="49"/>
      <c r="P293" s="142"/>
    </row>
    <row r="294" spans="5:16" s="67" customFormat="1" x14ac:dyDescent="0.3">
      <c r="E294" s="49"/>
      <c r="P294" s="142"/>
    </row>
    <row r="295" spans="5:16" s="67" customFormat="1" x14ac:dyDescent="0.3">
      <c r="E295" s="49"/>
      <c r="P295" s="142"/>
    </row>
    <row r="296" spans="5:16" s="67" customFormat="1" x14ac:dyDescent="0.3">
      <c r="E296" s="49"/>
      <c r="P296" s="142"/>
    </row>
    <row r="297" spans="5:16" s="67" customFormat="1" x14ac:dyDescent="0.3">
      <c r="E297" s="49"/>
      <c r="P297" s="142"/>
    </row>
    <row r="298" spans="5:16" s="67" customFormat="1" x14ac:dyDescent="0.3">
      <c r="E298" s="49"/>
      <c r="P298" s="142"/>
    </row>
    <row r="299" spans="5:16" s="67" customFormat="1" x14ac:dyDescent="0.3">
      <c r="E299" s="49"/>
      <c r="P299" s="142"/>
    </row>
    <row r="300" spans="5:16" s="67" customFormat="1" x14ac:dyDescent="0.3">
      <c r="E300" s="49"/>
      <c r="P300" s="142"/>
    </row>
    <row r="301" spans="5:16" s="67" customFormat="1" x14ac:dyDescent="0.3">
      <c r="E301" s="49"/>
      <c r="P301" s="142"/>
    </row>
    <row r="302" spans="5:16" s="67" customFormat="1" x14ac:dyDescent="0.3">
      <c r="E302" s="49"/>
      <c r="P302" s="142"/>
    </row>
    <row r="303" spans="5:16" s="67" customFormat="1" x14ac:dyDescent="0.3">
      <c r="E303" s="49"/>
      <c r="P303" s="142"/>
    </row>
    <row r="304" spans="5:16" s="67" customFormat="1" x14ac:dyDescent="0.3">
      <c r="E304" s="49"/>
      <c r="P304" s="142"/>
    </row>
    <row r="305" spans="1:16" s="67" customFormat="1" x14ac:dyDescent="0.3">
      <c r="A305" s="108"/>
      <c r="B305" s="108"/>
      <c r="C305" s="108"/>
      <c r="D305" s="108"/>
      <c r="F305" s="108"/>
      <c r="G305" s="108"/>
      <c r="H305" s="108"/>
      <c r="I305" s="108"/>
      <c r="J305" s="108"/>
      <c r="K305" s="108"/>
      <c r="P305" s="142"/>
    </row>
    <row r="306" spans="1:16" s="67" customFormat="1" x14ac:dyDescent="0.3">
      <c r="P306" s="142"/>
    </row>
    <row r="307" spans="1:16" s="67" customFormat="1" x14ac:dyDescent="0.3">
      <c r="P307" s="142"/>
    </row>
    <row r="308" spans="1:16" s="67" customFormat="1" x14ac:dyDescent="0.3">
      <c r="P308" s="142"/>
    </row>
    <row r="309" spans="1:16" s="67" customFormat="1" x14ac:dyDescent="0.3">
      <c r="P309" s="142"/>
    </row>
    <row r="310" spans="1:16" s="67" customFormat="1" x14ac:dyDescent="0.3">
      <c r="P310" s="142"/>
    </row>
    <row r="311" spans="1:16" s="67" customFormat="1" x14ac:dyDescent="0.3">
      <c r="A311" s="102"/>
      <c r="P311" s="142"/>
    </row>
    <row r="312" spans="1:16" s="67" customFormat="1" x14ac:dyDescent="0.3">
      <c r="C312" s="62"/>
      <c r="D312" s="62"/>
      <c r="F312" s="62"/>
      <c r="G312" s="62"/>
      <c r="H312" s="62"/>
      <c r="K312" s="62"/>
      <c r="P312" s="142"/>
    </row>
    <row r="313" spans="1:16" s="67" customFormat="1" x14ac:dyDescent="0.3">
      <c r="C313" s="62"/>
      <c r="D313" s="62"/>
      <c r="F313" s="62"/>
      <c r="P313" s="142"/>
    </row>
    <row r="314" spans="1:16" s="67" customFormat="1" x14ac:dyDescent="0.3">
      <c r="P314" s="142"/>
    </row>
    <row r="315" spans="1:16" s="67" customFormat="1" x14ac:dyDescent="0.3">
      <c r="P315" s="142"/>
    </row>
    <row r="316" spans="1:16" s="67" customFormat="1" x14ac:dyDescent="0.3">
      <c r="A316" s="69"/>
      <c r="P316" s="142"/>
    </row>
    <row r="317" spans="1:16" s="67" customFormat="1" x14ac:dyDescent="0.3">
      <c r="P317" s="142"/>
    </row>
    <row r="318" spans="1:16" s="67" customFormat="1" x14ac:dyDescent="0.3">
      <c r="E318" s="108"/>
      <c r="P318" s="142"/>
    </row>
    <row r="319" spans="1:16" s="67" customFormat="1" x14ac:dyDescent="0.3">
      <c r="P319" s="142"/>
    </row>
    <row r="320" spans="1:16" s="67" customFormat="1" x14ac:dyDescent="0.3">
      <c r="P320" s="142"/>
    </row>
    <row r="321" spans="5:19" s="67" customFormat="1" x14ac:dyDescent="0.3">
      <c r="P321" s="142"/>
    </row>
    <row r="322" spans="5:19" s="67" customFormat="1" x14ac:dyDescent="0.3">
      <c r="P322" s="142"/>
    </row>
    <row r="323" spans="5:19" x14ac:dyDescent="0.3">
      <c r="E323" s="67"/>
    </row>
    <row r="324" spans="5:19" x14ac:dyDescent="0.3">
      <c r="E324" s="67"/>
    </row>
    <row r="325" spans="5:19" x14ac:dyDescent="0.3">
      <c r="E325" s="62"/>
    </row>
    <row r="326" spans="5:19" x14ac:dyDescent="0.3">
      <c r="E326" s="62"/>
    </row>
    <row r="327" spans="5:19" x14ac:dyDescent="0.3">
      <c r="E327" s="67"/>
      <c r="Q327" s="63"/>
      <c r="R327" s="63"/>
      <c r="S327" s="63"/>
    </row>
    <row r="328" spans="5:19" x14ac:dyDescent="0.3">
      <c r="E328" s="67"/>
      <c r="Q328" s="63"/>
      <c r="R328" s="63"/>
      <c r="S328" s="63"/>
    </row>
    <row r="329" spans="5:19" x14ac:dyDescent="0.3">
      <c r="E329" s="67"/>
    </row>
    <row r="330" spans="5:19" x14ac:dyDescent="0.3">
      <c r="E330" s="67"/>
    </row>
    <row r="331" spans="5:19" x14ac:dyDescent="0.3">
      <c r="E331" s="67"/>
    </row>
    <row r="332" spans="5:19" x14ac:dyDescent="0.3">
      <c r="E332" s="67"/>
    </row>
    <row r="333" spans="5:19" x14ac:dyDescent="0.3">
      <c r="E333" s="67"/>
    </row>
    <row r="334" spans="5:19" x14ac:dyDescent="0.3">
      <c r="E334" s="67"/>
    </row>
    <row r="335" spans="5:19" x14ac:dyDescent="0.3">
      <c r="E335" s="67"/>
    </row>
    <row r="352" spans="9:10" x14ac:dyDescent="0.3">
      <c r="I352" s="109"/>
      <c r="J352" s="109"/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>
              <from>
                <xdr:col>4</xdr:col>
                <xdr:colOff>746760</xdr:colOff>
                <xdr:row>133</xdr:row>
                <xdr:rowOff>106680</xdr:rowOff>
              </from>
              <to>
                <xdr:col>7</xdr:col>
                <xdr:colOff>152400</xdr:colOff>
                <xdr:row>136</xdr:row>
                <xdr:rowOff>22860</xdr:rowOff>
              </to>
            </anchor>
          </objectPr>
        </oleObject>
      </mc:Choice>
      <mc:Fallback>
        <oleObject progId="Equation.3" shapeId="1025" r:id="rId4"/>
      </mc:Fallback>
    </mc:AlternateContent>
    <mc:AlternateContent xmlns:mc="http://schemas.openxmlformats.org/markup-compatibility/2006">
      <mc:Choice Requires="x14">
        <oleObject progId="Equation.3" shapeId="1026" r:id="rId6">
          <objectPr defaultSize="0" autoPict="0" r:id="rId7">
            <anchor moveWithCells="1">
              <from>
                <xdr:col>10</xdr:col>
                <xdr:colOff>502920</xdr:colOff>
                <xdr:row>72</xdr:row>
                <xdr:rowOff>190500</xdr:rowOff>
              </from>
              <to>
                <xdr:col>12</xdr:col>
                <xdr:colOff>1066800</xdr:colOff>
                <xdr:row>75</xdr:row>
                <xdr:rowOff>60960</xdr:rowOff>
              </to>
            </anchor>
          </objectPr>
        </oleObject>
      </mc:Choice>
      <mc:Fallback>
        <oleObject progId="Equation.3" shapeId="1026" r:id="rId6"/>
      </mc:Fallback>
    </mc:AlternateContent>
    <mc:AlternateContent xmlns:mc="http://schemas.openxmlformats.org/markup-compatibility/2006">
      <mc:Choice Requires="x14">
        <oleObject progId="Equation.3" shapeId="1027" r:id="rId8">
          <objectPr defaultSize="0" autoPict="0" r:id="rId9">
            <anchor moveWithCells="1">
              <from>
                <xdr:col>5</xdr:col>
                <xdr:colOff>144780</xdr:colOff>
                <xdr:row>88</xdr:row>
                <xdr:rowOff>121920</xdr:rowOff>
              </from>
              <to>
                <xdr:col>7</xdr:col>
                <xdr:colOff>937260</xdr:colOff>
                <xdr:row>91</xdr:row>
                <xdr:rowOff>114300</xdr:rowOff>
              </to>
            </anchor>
          </objectPr>
        </oleObject>
      </mc:Choice>
      <mc:Fallback>
        <oleObject progId="Equation.3" shapeId="1027" r:id="rId8"/>
      </mc:Fallback>
    </mc:AlternateContent>
    <mc:AlternateContent xmlns:mc="http://schemas.openxmlformats.org/markup-compatibility/2006">
      <mc:Choice Requires="x14">
        <oleObject progId="Equation.3" shapeId="1033" r:id="rId10">
          <objectPr defaultSize="0" autoPict="0" r:id="rId11">
            <anchor moveWithCells="1">
              <from>
                <xdr:col>4</xdr:col>
                <xdr:colOff>845820</xdr:colOff>
                <xdr:row>106</xdr:row>
                <xdr:rowOff>7620</xdr:rowOff>
              </from>
              <to>
                <xdr:col>7</xdr:col>
                <xdr:colOff>670560</xdr:colOff>
                <xdr:row>108</xdr:row>
                <xdr:rowOff>99060</xdr:rowOff>
              </to>
            </anchor>
          </objectPr>
        </oleObject>
      </mc:Choice>
      <mc:Fallback>
        <oleObject progId="Equation.3" shapeId="1033" r:id="rId10"/>
      </mc:Fallback>
    </mc:AlternateContent>
    <mc:AlternateContent xmlns:mc="http://schemas.openxmlformats.org/markup-compatibility/2006">
      <mc:Choice Requires="x14">
        <oleObject progId="Equation.3" shapeId="1034" r:id="rId12">
          <objectPr defaultSize="0" autoPict="0" r:id="rId13">
            <anchor moveWithCells="1">
              <from>
                <xdr:col>4</xdr:col>
                <xdr:colOff>373380</xdr:colOff>
                <xdr:row>117</xdr:row>
                <xdr:rowOff>22860</xdr:rowOff>
              </from>
              <to>
                <xdr:col>8</xdr:col>
                <xdr:colOff>800100</xdr:colOff>
                <xdr:row>118</xdr:row>
                <xdr:rowOff>137160</xdr:rowOff>
              </to>
            </anchor>
          </objectPr>
        </oleObject>
      </mc:Choice>
      <mc:Fallback>
        <oleObject progId="Equation.3" shapeId="1034" r:id="rId12"/>
      </mc:Fallback>
    </mc:AlternateContent>
    <mc:AlternateContent xmlns:mc="http://schemas.openxmlformats.org/markup-compatibility/2006">
      <mc:Choice Requires="x14">
        <oleObject progId="Equation.3" shapeId="1035" r:id="rId14">
          <objectPr defaultSize="0" autoPict="0" r:id="rId15">
            <anchor moveWithCells="1">
              <from>
                <xdr:col>4</xdr:col>
                <xdr:colOff>601980</xdr:colOff>
                <xdr:row>142</xdr:row>
                <xdr:rowOff>60960</xdr:rowOff>
              </from>
              <to>
                <xdr:col>6</xdr:col>
                <xdr:colOff>289560</xdr:colOff>
                <xdr:row>145</xdr:row>
                <xdr:rowOff>22860</xdr:rowOff>
              </to>
            </anchor>
          </objectPr>
        </oleObject>
      </mc:Choice>
      <mc:Fallback>
        <oleObject progId="Equation.3" shapeId="1035" r:id="rId14"/>
      </mc:Fallback>
    </mc:AlternateContent>
    <mc:AlternateContent xmlns:mc="http://schemas.openxmlformats.org/markup-compatibility/2006">
      <mc:Choice Requires="x14">
        <oleObject progId="Equation.3" shapeId="1039" r:id="rId16">
          <objectPr defaultSize="0" autoPict="0" r:id="rId17">
            <anchor moveWithCells="1">
              <from>
                <xdr:col>5</xdr:col>
                <xdr:colOff>259080</xdr:colOff>
                <xdr:row>100</xdr:row>
                <xdr:rowOff>22860</xdr:rowOff>
              </from>
              <to>
                <xdr:col>7</xdr:col>
                <xdr:colOff>556260</xdr:colOff>
                <xdr:row>101</xdr:row>
                <xdr:rowOff>99060</xdr:rowOff>
              </to>
            </anchor>
          </objectPr>
        </oleObject>
      </mc:Choice>
      <mc:Fallback>
        <oleObject progId="Equation.3" shapeId="1039" r:id="rId16"/>
      </mc:Fallback>
    </mc:AlternateContent>
    <mc:AlternateContent xmlns:mc="http://schemas.openxmlformats.org/markup-compatibility/2006">
      <mc:Choice Requires="x14">
        <oleObject progId="Equation.3" shapeId="1040" r:id="rId18">
          <objectPr defaultSize="0" autoPict="0" r:id="rId19">
            <anchor moveWithCells="1">
              <from>
                <xdr:col>4</xdr:col>
                <xdr:colOff>754380</xdr:colOff>
                <xdr:row>127</xdr:row>
                <xdr:rowOff>76200</xdr:rowOff>
              </from>
              <to>
                <xdr:col>6</xdr:col>
                <xdr:colOff>632460</xdr:colOff>
                <xdr:row>130</xdr:row>
                <xdr:rowOff>99060</xdr:rowOff>
              </to>
            </anchor>
          </objectPr>
        </oleObject>
      </mc:Choice>
      <mc:Fallback>
        <oleObject progId="Equation.3" shapeId="1040" r:id="rId18"/>
      </mc:Fallback>
    </mc:AlternateContent>
    <mc:AlternateContent xmlns:mc="http://schemas.openxmlformats.org/markup-compatibility/2006">
      <mc:Choice Requires="x14">
        <oleObject progId="Equation.3" shapeId="1089" r:id="rId20">
          <objectPr defaultSize="0" autoPict="0" r:id="rId5">
            <anchor moveWithCells="1">
              <from>
                <xdr:col>20</xdr:col>
                <xdr:colOff>617220</xdr:colOff>
                <xdr:row>134</xdr:row>
                <xdr:rowOff>7620</xdr:rowOff>
              </from>
              <to>
                <xdr:col>23</xdr:col>
                <xdr:colOff>213360</xdr:colOff>
                <xdr:row>136</xdr:row>
                <xdr:rowOff>121920</xdr:rowOff>
              </to>
            </anchor>
          </objectPr>
        </oleObject>
      </mc:Choice>
      <mc:Fallback>
        <oleObject progId="Equation.3" shapeId="1089" r:id="rId20"/>
      </mc:Fallback>
    </mc:AlternateContent>
    <mc:AlternateContent xmlns:mc="http://schemas.openxmlformats.org/markup-compatibility/2006">
      <mc:Choice Requires="x14">
        <oleObject progId="Equation.3" shapeId="1091" r:id="rId21">
          <objectPr defaultSize="0" autoPict="0" r:id="rId9">
            <anchor moveWithCells="1">
              <from>
                <xdr:col>18</xdr:col>
                <xdr:colOff>609600</xdr:colOff>
                <xdr:row>90</xdr:row>
                <xdr:rowOff>0</xdr:rowOff>
              </from>
              <to>
                <xdr:col>22</xdr:col>
                <xdr:colOff>0</xdr:colOff>
                <xdr:row>92</xdr:row>
                <xdr:rowOff>190500</xdr:rowOff>
              </to>
            </anchor>
          </objectPr>
        </oleObject>
      </mc:Choice>
      <mc:Fallback>
        <oleObject progId="Equation.3" shapeId="1091" r:id="rId21"/>
      </mc:Fallback>
    </mc:AlternateContent>
    <mc:AlternateContent xmlns:mc="http://schemas.openxmlformats.org/markup-compatibility/2006">
      <mc:Choice Requires="x14">
        <oleObject progId="Equation.3" shapeId="1097" r:id="rId22">
          <objectPr defaultSize="0" autoPict="0" r:id="rId11">
            <anchor moveWithCells="1">
              <from>
                <xdr:col>17</xdr:col>
                <xdr:colOff>1295400</xdr:colOff>
                <xdr:row>105</xdr:row>
                <xdr:rowOff>114300</xdr:rowOff>
              </from>
              <to>
                <xdr:col>21</xdr:col>
                <xdr:colOff>381000</xdr:colOff>
                <xdr:row>107</xdr:row>
                <xdr:rowOff>190500</xdr:rowOff>
              </to>
            </anchor>
          </objectPr>
        </oleObject>
      </mc:Choice>
      <mc:Fallback>
        <oleObject progId="Equation.3" shapeId="1097" r:id="rId22"/>
      </mc:Fallback>
    </mc:AlternateContent>
    <mc:AlternateContent xmlns:mc="http://schemas.openxmlformats.org/markup-compatibility/2006">
      <mc:Choice Requires="x14">
        <oleObject progId="Equation.3" shapeId="1098" r:id="rId23">
          <objectPr defaultSize="0" autoPict="0" r:id="rId13">
            <anchor moveWithCells="1">
              <from>
                <xdr:col>16</xdr:col>
                <xdr:colOff>861060</xdr:colOff>
                <xdr:row>116</xdr:row>
                <xdr:rowOff>144780</xdr:rowOff>
              </from>
              <to>
                <xdr:col>21</xdr:col>
                <xdr:colOff>571500</xdr:colOff>
                <xdr:row>118</xdr:row>
                <xdr:rowOff>60960</xdr:rowOff>
              </to>
            </anchor>
          </objectPr>
        </oleObject>
      </mc:Choice>
      <mc:Fallback>
        <oleObject progId="Equation.3" shapeId="1098" r:id="rId23"/>
      </mc:Fallback>
    </mc:AlternateContent>
    <mc:AlternateContent xmlns:mc="http://schemas.openxmlformats.org/markup-compatibility/2006">
      <mc:Choice Requires="x14">
        <oleObject progId="Equation.3" shapeId="1099" r:id="rId24">
          <objectPr defaultSize="0" autoPict="0" r:id="rId15">
            <anchor moveWithCells="1">
              <from>
                <xdr:col>20</xdr:col>
                <xdr:colOff>365760</xdr:colOff>
                <xdr:row>141</xdr:row>
                <xdr:rowOff>137160</xdr:rowOff>
              </from>
              <to>
                <xdr:col>22</xdr:col>
                <xdr:colOff>259080</xdr:colOff>
                <xdr:row>144</xdr:row>
                <xdr:rowOff>99060</xdr:rowOff>
              </to>
            </anchor>
          </objectPr>
        </oleObject>
      </mc:Choice>
      <mc:Fallback>
        <oleObject progId="Equation.3" shapeId="1099" r:id="rId24"/>
      </mc:Fallback>
    </mc:AlternateContent>
    <mc:AlternateContent xmlns:mc="http://schemas.openxmlformats.org/markup-compatibility/2006">
      <mc:Choice Requires="x14">
        <oleObject progId="Equation.3" shapeId="1100" r:id="rId25">
          <objectPr defaultSize="0" autoPict="0" r:id="rId17">
            <anchor moveWithCells="1">
              <from>
                <xdr:col>18</xdr:col>
                <xdr:colOff>38100</xdr:colOff>
                <xdr:row>100</xdr:row>
                <xdr:rowOff>30480</xdr:rowOff>
              </from>
              <to>
                <xdr:col>20</xdr:col>
                <xdr:colOff>502920</xdr:colOff>
                <xdr:row>101</xdr:row>
                <xdr:rowOff>106680</xdr:rowOff>
              </to>
            </anchor>
          </objectPr>
        </oleObject>
      </mc:Choice>
      <mc:Fallback>
        <oleObject progId="Equation.3" shapeId="1100" r:id="rId25"/>
      </mc:Fallback>
    </mc:AlternateContent>
    <mc:AlternateContent xmlns:mc="http://schemas.openxmlformats.org/markup-compatibility/2006">
      <mc:Choice Requires="x14">
        <oleObject progId="Equation.3" shapeId="1101" r:id="rId26">
          <objectPr defaultSize="0" autoPict="0" r:id="rId19">
            <anchor moveWithCells="1">
              <from>
                <xdr:col>20</xdr:col>
                <xdr:colOff>0</xdr:colOff>
                <xdr:row>127</xdr:row>
                <xdr:rowOff>76200</xdr:rowOff>
              </from>
              <to>
                <xdr:col>22</xdr:col>
                <xdr:colOff>83820</xdr:colOff>
                <xdr:row>130</xdr:row>
                <xdr:rowOff>99060</xdr:rowOff>
              </to>
            </anchor>
          </objectPr>
        </oleObject>
      </mc:Choice>
      <mc:Fallback>
        <oleObject progId="Equation.3" shapeId="1101" r:id="rId26"/>
      </mc:Fallback>
    </mc:AlternateContent>
    <mc:AlternateContent xmlns:mc="http://schemas.openxmlformats.org/markup-compatibility/2006">
      <mc:Choice Requires="x14">
        <oleObject progId="Equation.3" shapeId="1102" r:id="rId27">
          <objectPr defaultSize="0" autoPict="0" r:id="rId28">
            <anchor moveWithCells="1">
              <from>
                <xdr:col>20</xdr:col>
                <xdr:colOff>7620</xdr:colOff>
                <xdr:row>17</xdr:row>
                <xdr:rowOff>182880</xdr:rowOff>
              </from>
              <to>
                <xdr:col>21</xdr:col>
                <xdr:colOff>579120</xdr:colOff>
                <xdr:row>19</xdr:row>
                <xdr:rowOff>7620</xdr:rowOff>
              </to>
            </anchor>
          </objectPr>
        </oleObject>
      </mc:Choice>
      <mc:Fallback>
        <oleObject progId="Equation.3" shapeId="1102" r:id="rId27"/>
      </mc:Fallback>
    </mc:AlternateContent>
    <mc:AlternateContent xmlns:mc="http://schemas.openxmlformats.org/markup-compatibility/2006">
      <mc:Choice Requires="x14">
        <oleObject progId="Equation.3" shapeId="1103" r:id="rId29">
          <objectPr defaultSize="0" autoPict="0" r:id="rId30">
            <anchor moveWithCells="1">
              <from>
                <xdr:col>21</xdr:col>
                <xdr:colOff>601980</xdr:colOff>
                <xdr:row>17</xdr:row>
                <xdr:rowOff>190500</xdr:rowOff>
              </from>
              <to>
                <xdr:col>22</xdr:col>
                <xdr:colOff>1089660</xdr:colOff>
                <xdr:row>19</xdr:row>
                <xdr:rowOff>30480</xdr:rowOff>
              </to>
            </anchor>
          </objectPr>
        </oleObject>
      </mc:Choice>
      <mc:Fallback>
        <oleObject progId="Equation.3" shapeId="1103" r:id="rId29"/>
      </mc:Fallback>
    </mc:AlternateContent>
    <mc:AlternateContent xmlns:mc="http://schemas.openxmlformats.org/markup-compatibility/2006">
      <mc:Choice Requires="x14">
        <oleObject progId="Equation.3" shapeId="1104" r:id="rId31">
          <objectPr defaultSize="0" autoPict="0" r:id="rId32">
            <anchor moveWithCells="1">
              <from>
                <xdr:col>20</xdr:col>
                <xdr:colOff>0</xdr:colOff>
                <xdr:row>19</xdr:row>
                <xdr:rowOff>30480</xdr:rowOff>
              </from>
              <to>
                <xdr:col>22</xdr:col>
                <xdr:colOff>22860</xdr:colOff>
                <xdr:row>20</xdr:row>
                <xdr:rowOff>76200</xdr:rowOff>
              </to>
            </anchor>
          </objectPr>
        </oleObject>
      </mc:Choice>
      <mc:Fallback>
        <oleObject progId="Equation.3" shapeId="1104" r:id="rId31"/>
      </mc:Fallback>
    </mc:AlternateContent>
    <mc:AlternateContent xmlns:mc="http://schemas.openxmlformats.org/markup-compatibility/2006">
      <mc:Choice Requires="x14">
        <oleObject progId="Equation.3" shapeId="1105" r:id="rId33">
          <objectPr defaultSize="0" autoPict="0" r:id="rId34">
            <anchor moveWithCells="1">
              <from>
                <xdr:col>22</xdr:col>
                <xdr:colOff>60960</xdr:colOff>
                <xdr:row>19</xdr:row>
                <xdr:rowOff>76200</xdr:rowOff>
              </from>
              <to>
                <xdr:col>23</xdr:col>
                <xdr:colOff>388620</xdr:colOff>
                <xdr:row>20</xdr:row>
                <xdr:rowOff>137160</xdr:rowOff>
              </to>
            </anchor>
          </objectPr>
        </oleObject>
      </mc:Choice>
      <mc:Fallback>
        <oleObject progId="Equation.3" shapeId="1105" r:id="rId33"/>
      </mc:Fallback>
    </mc:AlternateContent>
    <mc:AlternateContent xmlns:mc="http://schemas.openxmlformats.org/markup-compatibility/2006">
      <mc:Choice Requires="x14">
        <oleObject progId="Equation.3" shapeId="1106" r:id="rId35">
          <objectPr defaultSize="0" autoPict="0" r:id="rId36">
            <anchor moveWithCells="1">
              <from>
                <xdr:col>20</xdr:col>
                <xdr:colOff>22860</xdr:colOff>
                <xdr:row>23</xdr:row>
                <xdr:rowOff>22860</xdr:rowOff>
              </from>
              <to>
                <xdr:col>22</xdr:col>
                <xdr:colOff>708660</xdr:colOff>
                <xdr:row>24</xdr:row>
                <xdr:rowOff>60960</xdr:rowOff>
              </to>
            </anchor>
          </objectPr>
        </oleObject>
      </mc:Choice>
      <mc:Fallback>
        <oleObject progId="Equation.3" shapeId="1106" r:id="rId35"/>
      </mc:Fallback>
    </mc:AlternateContent>
    <mc:AlternateContent xmlns:mc="http://schemas.openxmlformats.org/markup-compatibility/2006">
      <mc:Choice Requires="x14">
        <oleObject progId="Equation.3" shapeId="1107" r:id="rId37">
          <objectPr defaultSize="0" autoPict="0" r:id="rId38">
            <anchor moveWithCells="1">
              <from>
                <xdr:col>20</xdr:col>
                <xdr:colOff>0</xdr:colOff>
                <xdr:row>20</xdr:row>
                <xdr:rowOff>175260</xdr:rowOff>
              </from>
              <to>
                <xdr:col>23</xdr:col>
                <xdr:colOff>251460</xdr:colOff>
                <xdr:row>23</xdr:row>
                <xdr:rowOff>30480</xdr:rowOff>
              </to>
            </anchor>
          </objectPr>
        </oleObject>
      </mc:Choice>
      <mc:Fallback>
        <oleObject progId="Equation.3" shapeId="1107" r:id="rId37"/>
      </mc:Fallback>
    </mc:AlternateContent>
    <mc:AlternateContent xmlns:mc="http://schemas.openxmlformats.org/markup-compatibility/2006">
      <mc:Choice Requires="x14">
        <oleObject progId="Equation.3" shapeId="1108" r:id="rId39">
          <objectPr defaultSize="0" autoPict="0" r:id="rId40">
            <anchor moveWithCells="1">
              <from>
                <xdr:col>16</xdr:col>
                <xdr:colOff>38100</xdr:colOff>
                <xdr:row>25</xdr:row>
                <xdr:rowOff>76200</xdr:rowOff>
              </from>
              <to>
                <xdr:col>17</xdr:col>
                <xdr:colOff>228600</xdr:colOff>
                <xdr:row>28</xdr:row>
                <xdr:rowOff>60960</xdr:rowOff>
              </to>
            </anchor>
          </objectPr>
        </oleObject>
      </mc:Choice>
      <mc:Fallback>
        <oleObject progId="Equation.3" shapeId="1108" r:id="rId39"/>
      </mc:Fallback>
    </mc:AlternateContent>
    <mc:AlternateContent xmlns:mc="http://schemas.openxmlformats.org/markup-compatibility/2006">
      <mc:Choice Requires="x14">
        <oleObject progId="Equation.3" shapeId="1109" r:id="rId41">
          <objectPr defaultSize="0" autoPict="0" r:id="rId42">
            <anchor moveWithCells="1">
              <from>
                <xdr:col>24</xdr:col>
                <xdr:colOff>190500</xdr:colOff>
                <xdr:row>25</xdr:row>
                <xdr:rowOff>99060</xdr:rowOff>
              </from>
              <to>
                <xdr:col>25</xdr:col>
                <xdr:colOff>1127760</xdr:colOff>
                <xdr:row>28</xdr:row>
                <xdr:rowOff>76200</xdr:rowOff>
              </to>
            </anchor>
          </objectPr>
        </oleObject>
      </mc:Choice>
      <mc:Fallback>
        <oleObject progId="Equation.3" shapeId="1109" r:id="rId41"/>
      </mc:Fallback>
    </mc:AlternateContent>
    <mc:AlternateContent xmlns:mc="http://schemas.openxmlformats.org/markup-compatibility/2006">
      <mc:Choice Requires="x14">
        <oleObject progId="Equation.3" shapeId="1110" r:id="rId43">
          <objectPr defaultSize="0" autoPict="0" r:id="rId7">
            <anchor moveWithCells="1">
              <from>
                <xdr:col>0</xdr:col>
                <xdr:colOff>495300</xdr:colOff>
                <xdr:row>73</xdr:row>
                <xdr:rowOff>30480</xdr:rowOff>
              </from>
              <to>
                <xdr:col>2</xdr:col>
                <xdr:colOff>190500</xdr:colOff>
                <xdr:row>75</xdr:row>
                <xdr:rowOff>99060</xdr:rowOff>
              </to>
            </anchor>
          </objectPr>
        </oleObject>
      </mc:Choice>
      <mc:Fallback>
        <oleObject progId="Equation.3" shapeId="1110" r:id="rId43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1" r:id="rId44" name="Scroll Bar 87">
              <controlPr defaultSize="0" autoPict="0">
                <anchor moveWithCells="1">
                  <from>
                    <xdr:col>2</xdr:col>
                    <xdr:colOff>60960</xdr:colOff>
                    <xdr:row>11</xdr:row>
                    <xdr:rowOff>175260</xdr:rowOff>
                  </from>
                  <to>
                    <xdr:col>2</xdr:col>
                    <xdr:colOff>1592580</xdr:colOff>
                    <xdr:row>12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45" name="Scroll Bar 88">
              <controlPr defaultSize="0" autoPict="0">
                <anchor moveWithCells="1">
                  <from>
                    <xdr:col>2</xdr:col>
                    <xdr:colOff>45720</xdr:colOff>
                    <xdr:row>12</xdr:row>
                    <xdr:rowOff>175260</xdr:rowOff>
                  </from>
                  <to>
                    <xdr:col>2</xdr:col>
                    <xdr:colOff>1584960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46" name="Scroll Bar 89">
              <controlPr defaultSize="0" autoPict="0">
                <anchor moveWithCells="1">
                  <from>
                    <xdr:col>13</xdr:col>
                    <xdr:colOff>22860</xdr:colOff>
                    <xdr:row>12</xdr:row>
                    <xdr:rowOff>0</xdr:rowOff>
                  </from>
                  <to>
                    <xdr:col>14</xdr:col>
                    <xdr:colOff>693420</xdr:colOff>
                    <xdr:row>12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47" name="Scroll Bar 90">
              <controlPr defaultSize="0" autoPict="0">
                <anchor moveWithCells="1">
                  <from>
                    <xdr:col>13</xdr:col>
                    <xdr:colOff>45720</xdr:colOff>
                    <xdr:row>13</xdr:row>
                    <xdr:rowOff>0</xdr:rowOff>
                  </from>
                  <to>
                    <xdr:col>14</xdr:col>
                    <xdr:colOff>754380</xdr:colOff>
                    <xdr:row>13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48" name="Scroll Bar 92">
              <controlPr defaultSize="0" autoPict="0">
                <anchor moveWithCells="1">
                  <from>
                    <xdr:col>2</xdr:col>
                    <xdr:colOff>68580</xdr:colOff>
                    <xdr:row>17</xdr:row>
                    <xdr:rowOff>30480</xdr:rowOff>
                  </from>
                  <to>
                    <xdr:col>2</xdr:col>
                    <xdr:colOff>1600200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49" name="Scroll Bar 95">
              <controlPr defaultSize="0" autoPict="0">
                <anchor moveWithCells="1">
                  <from>
                    <xdr:col>2</xdr:col>
                    <xdr:colOff>99060</xdr:colOff>
                    <xdr:row>18</xdr:row>
                    <xdr:rowOff>45720</xdr:rowOff>
                  </from>
                  <to>
                    <xdr:col>2</xdr:col>
                    <xdr:colOff>1600200</xdr:colOff>
                    <xdr:row>19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469"/>
  <sheetViews>
    <sheetView topLeftCell="A178" zoomScaleNormal="100" workbookViewId="0">
      <selection sqref="A1:I186"/>
    </sheetView>
  </sheetViews>
  <sheetFormatPr defaultColWidth="9.109375" defaultRowHeight="18" x14ac:dyDescent="0.35"/>
  <cols>
    <col min="1" max="1" width="8.33203125" style="7" customWidth="1"/>
    <col min="2" max="2" width="8.109375" style="7" customWidth="1"/>
    <col min="3" max="3" width="6.33203125" style="7" customWidth="1"/>
    <col min="4" max="4" width="10.109375" style="7" customWidth="1"/>
    <col min="5" max="5" width="7.6640625" style="7" customWidth="1"/>
    <col min="6" max="6" width="9.33203125" style="7" customWidth="1"/>
    <col min="7" max="7" width="6.6640625" style="7" customWidth="1"/>
    <col min="8" max="8" width="6.33203125" style="7" customWidth="1"/>
    <col min="9" max="9" width="7" style="7" customWidth="1"/>
    <col min="10" max="10" width="5.5546875" style="7" customWidth="1"/>
    <col min="11" max="11" width="25.5546875" style="7" customWidth="1"/>
    <col min="12" max="12" width="5.5546875" style="7" customWidth="1"/>
    <col min="13" max="13" width="6.6640625" style="7" customWidth="1"/>
    <col min="14" max="14" width="8.5546875" style="7" customWidth="1"/>
    <col min="15" max="15" width="11.33203125" style="7" customWidth="1"/>
    <col min="16" max="16" width="12.5546875" style="7" customWidth="1"/>
    <col min="17" max="17" width="13" style="7" customWidth="1"/>
    <col min="18" max="22" width="9.109375" style="7"/>
    <col min="23" max="23" width="8.6640625" style="7" customWidth="1"/>
    <col min="24" max="24" width="13.5546875" style="7" customWidth="1"/>
    <col min="25" max="26" width="9.109375" style="7"/>
    <col min="27" max="27" width="12.109375" style="7" customWidth="1"/>
    <col min="28" max="35" width="9.109375" style="7"/>
    <col min="36" max="36" width="12.6640625" style="7" customWidth="1"/>
    <col min="37" max="38" width="9.109375" style="7"/>
    <col min="39" max="39" width="12.109375" style="7" customWidth="1"/>
    <col min="40" max="16384" width="9.109375" style="7"/>
  </cols>
  <sheetData>
    <row r="1" spans="1:17" x14ac:dyDescent="0.35">
      <c r="A1" s="116" t="s">
        <v>137</v>
      </c>
    </row>
    <row r="3" spans="1:17" x14ac:dyDescent="0.35">
      <c r="A3" s="117" t="str">
        <f>Изчисление!A1</f>
        <v>За лек автомобил 1</v>
      </c>
      <c r="B3" s="41"/>
      <c r="C3" s="39"/>
      <c r="D3" s="40"/>
    </row>
    <row r="5" spans="1:17" x14ac:dyDescent="0.35">
      <c r="I5" s="7" t="s">
        <v>145</v>
      </c>
    </row>
    <row r="7" spans="1:17" x14ac:dyDescent="0.35">
      <c r="A7" s="7" t="s">
        <v>302</v>
      </c>
    </row>
    <row r="8" spans="1:17" x14ac:dyDescent="0.35">
      <c r="A8" s="12" t="s">
        <v>303</v>
      </c>
    </row>
    <row r="9" spans="1:17" x14ac:dyDescent="0.35">
      <c r="A9" s="7" t="s">
        <v>138</v>
      </c>
    </row>
    <row r="12" spans="1:17" x14ac:dyDescent="0.35">
      <c r="A12" s="10" t="s">
        <v>132</v>
      </c>
    </row>
    <row r="13" spans="1:17" ht="21" x14ac:dyDescent="0.4">
      <c r="A13" s="7" t="s">
        <v>133</v>
      </c>
      <c r="O13" s="8"/>
      <c r="P13" s="8"/>
      <c r="Q13" s="8"/>
    </row>
    <row r="14" spans="1:17" ht="21" x14ac:dyDescent="0.4">
      <c r="A14" s="7" t="s">
        <v>93</v>
      </c>
      <c r="O14" s="8"/>
    </row>
    <row r="16" spans="1:17" x14ac:dyDescent="0.35">
      <c r="A16" s="28" t="s">
        <v>139</v>
      </c>
      <c r="B16" s="13">
        <f>Изчисление!B3</f>
        <v>0.7</v>
      </c>
      <c r="C16" s="7" t="s">
        <v>204</v>
      </c>
      <c r="F16" s="15"/>
      <c r="G16" s="11"/>
    </row>
    <row r="17" spans="1:44" x14ac:dyDescent="0.35">
      <c r="A17" s="28" t="s">
        <v>94</v>
      </c>
      <c r="B17" s="17">
        <f>Изчисление!B5</f>
        <v>0</v>
      </c>
      <c r="C17" s="7" t="s">
        <v>8</v>
      </c>
      <c r="F17" s="15"/>
      <c r="G17" s="8"/>
      <c r="O17" s="8"/>
      <c r="P17" s="8"/>
      <c r="Q17" s="8"/>
    </row>
    <row r="18" spans="1:44" x14ac:dyDescent="0.35">
      <c r="A18" s="28" t="s">
        <v>95</v>
      </c>
      <c r="B18" s="13">
        <f>Изчисление!B4</f>
        <v>8.1</v>
      </c>
      <c r="C18" s="7" t="s">
        <v>4</v>
      </c>
      <c r="F18" s="15"/>
      <c r="G18" s="11"/>
      <c r="O18" s="8"/>
    </row>
    <row r="19" spans="1:44" ht="21" x14ac:dyDescent="0.4">
      <c r="A19" s="28" t="s">
        <v>96</v>
      </c>
      <c r="B19" s="13">
        <f>Изчисление!B6</f>
        <v>6.87</v>
      </c>
      <c r="C19" s="7" t="s">
        <v>134</v>
      </c>
      <c r="F19" s="15"/>
      <c r="G19" s="11"/>
    </row>
    <row r="20" spans="1:44" x14ac:dyDescent="0.35">
      <c r="A20" s="31" t="s">
        <v>234</v>
      </c>
      <c r="B20" s="22">
        <f>Изчисление!B7</f>
        <v>0</v>
      </c>
      <c r="C20" s="9" t="s">
        <v>14</v>
      </c>
    </row>
    <row r="21" spans="1:44" x14ac:dyDescent="0.35">
      <c r="A21" s="43"/>
      <c r="B21" s="35">
        <f>Изчисление!B8</f>
        <v>0</v>
      </c>
      <c r="C21" s="9" t="s">
        <v>17</v>
      </c>
    </row>
    <row r="23" spans="1:44" x14ac:dyDescent="0.35">
      <c r="J23" s="8"/>
      <c r="K23" s="8"/>
      <c r="L23" s="8"/>
      <c r="M23" s="8"/>
      <c r="N23" s="8"/>
    </row>
    <row r="24" spans="1:44" x14ac:dyDescent="0.35">
      <c r="A24" s="7" t="s">
        <v>158</v>
      </c>
    </row>
    <row r="26" spans="1:44" x14ac:dyDescent="0.35">
      <c r="A26" s="29" t="s">
        <v>97</v>
      </c>
      <c r="B26" s="13">
        <f>Изчисление!B10</f>
        <v>10.5</v>
      </c>
      <c r="C26" s="14" t="s">
        <v>14</v>
      </c>
      <c r="N26" s="8"/>
    </row>
    <row r="27" spans="1:44" x14ac:dyDescent="0.35">
      <c r="A27" s="15"/>
      <c r="B27" s="13">
        <f>Изчисление!B11</f>
        <v>37.799999999999997</v>
      </c>
      <c r="C27" s="7" t="s">
        <v>17</v>
      </c>
      <c r="N27" s="8"/>
    </row>
    <row r="28" spans="1:44" x14ac:dyDescent="0.35">
      <c r="N28" s="11"/>
    </row>
    <row r="29" spans="1:44" x14ac:dyDescent="0.35">
      <c r="R29" s="8"/>
      <c r="AE29" s="8"/>
      <c r="AF29" s="8"/>
      <c r="AQ29" s="8"/>
      <c r="AR29" s="8"/>
    </row>
    <row r="30" spans="1:44" x14ac:dyDescent="0.35">
      <c r="R30" s="8"/>
      <c r="AE30" s="8"/>
      <c r="AF30" s="8"/>
      <c r="AQ30" s="8"/>
      <c r="AR30" s="8"/>
    </row>
    <row r="31" spans="1:44" x14ac:dyDescent="0.35">
      <c r="A31" s="118" t="str">
        <f>Изчисление!L1</f>
        <v>За лек автомобил 2</v>
      </c>
      <c r="B31" s="40"/>
      <c r="C31" s="40"/>
      <c r="D31" s="40"/>
      <c r="R31" s="8"/>
      <c r="AE31" s="8"/>
      <c r="AF31" s="8"/>
      <c r="AQ31" s="8"/>
      <c r="AR31" s="8"/>
    </row>
    <row r="32" spans="1:44" x14ac:dyDescent="0.35">
      <c r="B32" s="16"/>
      <c r="I32" s="16"/>
      <c r="R32" s="8"/>
      <c r="AE32" s="8"/>
      <c r="AF32" s="8"/>
      <c r="AQ32" s="8"/>
      <c r="AR32" s="8"/>
    </row>
    <row r="33" spans="1:44" x14ac:dyDescent="0.35">
      <c r="R33" s="8"/>
      <c r="AE33" s="8"/>
      <c r="AF33" s="8"/>
      <c r="AQ33" s="8"/>
      <c r="AR33" s="8"/>
    </row>
    <row r="34" spans="1:44" x14ac:dyDescent="0.35">
      <c r="I34" s="7" t="s">
        <v>148</v>
      </c>
      <c r="R34" s="8"/>
      <c r="AE34" s="8"/>
      <c r="AF34" s="8"/>
      <c r="AQ34" s="8"/>
      <c r="AR34" s="8"/>
    </row>
    <row r="35" spans="1:44" x14ac:dyDescent="0.35">
      <c r="R35" s="8"/>
      <c r="AE35" s="8"/>
      <c r="AF35" s="8"/>
      <c r="AQ35" s="8"/>
      <c r="AR35" s="8"/>
    </row>
    <row r="36" spans="1:44" x14ac:dyDescent="0.35">
      <c r="A36" s="7" t="s">
        <v>304</v>
      </c>
      <c r="R36" s="8"/>
      <c r="AE36" s="8"/>
      <c r="AF36" s="8"/>
      <c r="AQ36" s="8"/>
      <c r="AR36" s="8"/>
    </row>
    <row r="37" spans="1:44" x14ac:dyDescent="0.35">
      <c r="A37" s="7" t="s">
        <v>119</v>
      </c>
      <c r="R37" s="8"/>
      <c r="AE37" s="8"/>
      <c r="AF37" s="8"/>
      <c r="AQ37" s="8"/>
      <c r="AR37" s="8"/>
    </row>
    <row r="38" spans="1:44" x14ac:dyDescent="0.35">
      <c r="A38" s="12" t="s">
        <v>305</v>
      </c>
      <c r="R38" s="8"/>
      <c r="AE38" s="8"/>
      <c r="AF38" s="8"/>
      <c r="AQ38" s="8"/>
      <c r="AR38" s="8"/>
    </row>
    <row r="39" spans="1:44" x14ac:dyDescent="0.35">
      <c r="R39" s="8"/>
      <c r="AE39" s="8"/>
      <c r="AF39" s="8"/>
      <c r="AQ39" s="8"/>
      <c r="AR39" s="8"/>
    </row>
    <row r="40" spans="1:44" x14ac:dyDescent="0.35">
      <c r="R40" s="8"/>
      <c r="AE40" s="8"/>
      <c r="AF40" s="8"/>
      <c r="AQ40" s="8"/>
      <c r="AR40" s="8"/>
    </row>
    <row r="41" spans="1:44" x14ac:dyDescent="0.35">
      <c r="A41" s="10" t="s">
        <v>132</v>
      </c>
      <c r="R41" s="8"/>
      <c r="AE41" s="8"/>
      <c r="AF41" s="8"/>
      <c r="AQ41" s="8"/>
      <c r="AR41" s="8"/>
    </row>
    <row r="42" spans="1:44" x14ac:dyDescent="0.35">
      <c r="A42" s="7" t="s">
        <v>120</v>
      </c>
      <c r="R42" s="8"/>
      <c r="AE42" s="8"/>
      <c r="AF42" s="8"/>
      <c r="AQ42" s="8"/>
      <c r="AR42" s="8"/>
    </row>
    <row r="43" spans="1:44" x14ac:dyDescent="0.35">
      <c r="A43" s="7" t="s">
        <v>121</v>
      </c>
      <c r="R43" s="8"/>
      <c r="AE43" s="8"/>
      <c r="AF43" s="8"/>
      <c r="AQ43" s="8"/>
      <c r="AR43" s="8"/>
    </row>
    <row r="44" spans="1:44" x14ac:dyDescent="0.35">
      <c r="R44" s="8"/>
      <c r="AE44" s="8"/>
      <c r="AF44" s="8"/>
      <c r="AQ44" s="8"/>
      <c r="AR44" s="8"/>
    </row>
    <row r="45" spans="1:44" x14ac:dyDescent="0.35">
      <c r="A45" s="28" t="s">
        <v>205</v>
      </c>
      <c r="B45" s="13">
        <f>Изчисление!$M$3</f>
        <v>0.7</v>
      </c>
      <c r="C45" s="7" t="s">
        <v>203</v>
      </c>
      <c r="E45" s="15"/>
      <c r="F45" s="11"/>
      <c r="R45" s="8"/>
      <c r="AE45" s="8"/>
      <c r="AF45" s="8"/>
      <c r="AQ45" s="8"/>
      <c r="AR45" s="8"/>
    </row>
    <row r="46" spans="1:44" x14ac:dyDescent="0.35">
      <c r="A46" s="28" t="s">
        <v>94</v>
      </c>
      <c r="B46" s="17">
        <f>Изчисление!M5</f>
        <v>0</v>
      </c>
      <c r="C46" s="7" t="s">
        <v>8</v>
      </c>
      <c r="E46" s="15"/>
      <c r="F46" s="8"/>
      <c r="R46" s="8"/>
      <c r="AE46" s="8"/>
      <c r="AF46" s="8"/>
      <c r="AQ46" s="8"/>
      <c r="AR46" s="8"/>
    </row>
    <row r="47" spans="1:44" x14ac:dyDescent="0.35">
      <c r="A47" s="28" t="s">
        <v>206</v>
      </c>
      <c r="B47" s="13">
        <f>Изчисление!M4</f>
        <v>18</v>
      </c>
      <c r="C47" s="7" t="s">
        <v>4</v>
      </c>
      <c r="E47" s="15"/>
      <c r="F47" s="11"/>
      <c r="R47" s="8"/>
      <c r="AE47" s="8"/>
      <c r="AF47" s="8"/>
      <c r="AQ47" s="8"/>
      <c r="AR47" s="8"/>
    </row>
    <row r="48" spans="1:44" x14ac:dyDescent="0.35">
      <c r="A48" s="28" t="s">
        <v>207</v>
      </c>
      <c r="B48" s="13">
        <f>Изчисление!M6</f>
        <v>6.87</v>
      </c>
      <c r="C48" s="7" t="s">
        <v>136</v>
      </c>
      <c r="E48" s="15"/>
      <c r="F48" s="11"/>
      <c r="J48" s="8"/>
      <c r="R48" s="8"/>
      <c r="AE48" s="8"/>
      <c r="AF48" s="8"/>
      <c r="AQ48" s="8"/>
      <c r="AR48" s="8"/>
    </row>
    <row r="49" spans="1:44" x14ac:dyDescent="0.35">
      <c r="A49" s="31" t="s">
        <v>208</v>
      </c>
      <c r="B49" s="22">
        <f>Изчисление!M7</f>
        <v>0</v>
      </c>
      <c r="C49" s="9" t="s">
        <v>14</v>
      </c>
      <c r="J49" s="8"/>
      <c r="R49" s="8"/>
      <c r="AE49" s="8"/>
      <c r="AF49" s="8"/>
      <c r="AQ49" s="8"/>
      <c r="AR49" s="8"/>
    </row>
    <row r="50" spans="1:44" x14ac:dyDescent="0.35">
      <c r="A50" s="23"/>
      <c r="B50" s="35">
        <f>Изчисление!M8</f>
        <v>0</v>
      </c>
      <c r="C50" s="9" t="s">
        <v>17</v>
      </c>
      <c r="J50" s="11"/>
      <c r="R50" s="8"/>
      <c r="AE50" s="8"/>
      <c r="AF50" s="8"/>
      <c r="AQ50" s="8"/>
      <c r="AR50" s="8"/>
    </row>
    <row r="51" spans="1:44" x14ac:dyDescent="0.35">
      <c r="D51" s="8"/>
      <c r="J51" s="8"/>
      <c r="R51" s="8"/>
      <c r="AE51" s="8"/>
      <c r="AF51" s="8"/>
      <c r="AQ51" s="8"/>
      <c r="AR51" s="8"/>
    </row>
    <row r="52" spans="1:44" x14ac:dyDescent="0.35">
      <c r="D52" s="8"/>
      <c r="J52" s="8"/>
      <c r="R52" s="8"/>
      <c r="AE52" s="8"/>
      <c r="AF52" s="8"/>
      <c r="AQ52" s="8"/>
      <c r="AR52" s="8"/>
    </row>
    <row r="53" spans="1:44" x14ac:dyDescent="0.35">
      <c r="D53" s="8"/>
      <c r="J53" s="8"/>
      <c r="R53" s="8"/>
      <c r="AE53" s="8"/>
      <c r="AF53" s="8"/>
      <c r="AQ53" s="8"/>
      <c r="AR53" s="8"/>
    </row>
    <row r="54" spans="1:44" x14ac:dyDescent="0.35">
      <c r="A54" s="7" t="s">
        <v>159</v>
      </c>
      <c r="D54" s="8"/>
      <c r="J54" s="8"/>
      <c r="R54" s="8"/>
      <c r="AE54" s="8"/>
      <c r="AF54" s="8"/>
      <c r="AQ54" s="8"/>
      <c r="AR54" s="8"/>
    </row>
    <row r="55" spans="1:44" x14ac:dyDescent="0.35">
      <c r="R55" s="8"/>
      <c r="AE55" s="8"/>
      <c r="AF55" s="8"/>
      <c r="AQ55" s="8"/>
      <c r="AR55" s="8"/>
    </row>
    <row r="56" spans="1:44" x14ac:dyDescent="0.35">
      <c r="A56" s="30" t="s">
        <v>122</v>
      </c>
      <c r="B56" s="44">
        <f>Изчисление!M10</f>
        <v>15.7</v>
      </c>
      <c r="C56" s="14" t="s">
        <v>14</v>
      </c>
      <c r="R56" s="8"/>
      <c r="AE56" s="8"/>
      <c r="AF56" s="8"/>
      <c r="AQ56" s="8"/>
      <c r="AR56" s="8"/>
    </row>
    <row r="57" spans="1:44" x14ac:dyDescent="0.35">
      <c r="A57" s="15"/>
      <c r="B57" s="44">
        <f>Изчисление!M11</f>
        <v>56.5</v>
      </c>
      <c r="C57" s="7" t="s">
        <v>17</v>
      </c>
      <c r="E57" s="11"/>
      <c r="R57" s="8"/>
      <c r="AE57" s="8"/>
      <c r="AF57" s="8"/>
      <c r="AQ57" s="8"/>
      <c r="AR57" s="8"/>
    </row>
    <row r="58" spans="1:44" x14ac:dyDescent="0.35">
      <c r="R58" s="8"/>
      <c r="AE58" s="11"/>
      <c r="AF58" s="8"/>
      <c r="AQ58" s="11"/>
      <c r="AR58" s="8"/>
    </row>
    <row r="59" spans="1:44" x14ac:dyDescent="0.35">
      <c r="A59" s="116" t="s">
        <v>23</v>
      </c>
      <c r="R59" s="8"/>
      <c r="AE59" s="11"/>
      <c r="AF59" s="8"/>
      <c r="AQ59" s="11"/>
      <c r="AR59" s="8"/>
    </row>
    <row r="60" spans="1:44" x14ac:dyDescent="0.35">
      <c r="R60" s="8"/>
      <c r="AE60" s="11"/>
      <c r="AF60" s="8"/>
      <c r="AQ60" s="11"/>
      <c r="AR60" s="8"/>
    </row>
    <row r="61" spans="1:44" x14ac:dyDescent="0.35">
      <c r="A61" s="117" t="str">
        <f>Изчисление!A1</f>
        <v>За лек автомобил 1</v>
      </c>
      <c r="B61" s="117"/>
      <c r="C61" s="39"/>
      <c r="D61" s="40"/>
      <c r="R61" s="8"/>
      <c r="AE61" s="11"/>
      <c r="AF61" s="8"/>
      <c r="AQ61" s="11"/>
      <c r="AR61" s="8"/>
    </row>
    <row r="62" spans="1:44" x14ac:dyDescent="0.35">
      <c r="R62" s="8"/>
      <c r="AE62" s="11"/>
      <c r="AF62" s="8"/>
      <c r="AQ62" s="11"/>
      <c r="AR62" s="8"/>
    </row>
    <row r="63" spans="1:44" x14ac:dyDescent="0.35">
      <c r="I63" s="7" t="s">
        <v>152</v>
      </c>
      <c r="R63" s="8"/>
      <c r="AE63" s="11"/>
      <c r="AF63" s="8"/>
      <c r="AQ63" s="11"/>
      <c r="AR63" s="8"/>
    </row>
    <row r="64" spans="1:44" x14ac:dyDescent="0.35">
      <c r="R64" s="8"/>
      <c r="AE64" s="11"/>
      <c r="AF64" s="8"/>
      <c r="AQ64" s="11"/>
      <c r="AR64" s="8"/>
    </row>
    <row r="65" spans="1:44" x14ac:dyDescent="0.35">
      <c r="R65" s="8"/>
      <c r="AE65" s="11"/>
      <c r="AF65" s="8"/>
      <c r="AQ65" s="11"/>
      <c r="AR65" s="8"/>
    </row>
    <row r="66" spans="1:44" x14ac:dyDescent="0.35">
      <c r="A66" s="7" t="s">
        <v>98</v>
      </c>
      <c r="R66" s="8"/>
      <c r="Y66" s="8"/>
      <c r="Z66" s="8"/>
      <c r="AA66" s="8"/>
      <c r="AB66" s="8"/>
      <c r="AC66" s="8"/>
      <c r="AK66" s="8"/>
      <c r="AL66" s="8"/>
      <c r="AM66" s="8"/>
      <c r="AN66" s="8"/>
      <c r="AO66" s="8"/>
    </row>
    <row r="67" spans="1:44" x14ac:dyDescent="0.35">
      <c r="A67" s="7" t="s">
        <v>99</v>
      </c>
      <c r="B67" s="16"/>
      <c r="R67" s="8"/>
    </row>
    <row r="68" spans="1:44" x14ac:dyDescent="0.35">
      <c r="A68" s="7" t="s">
        <v>302</v>
      </c>
      <c r="B68" s="16"/>
      <c r="R68" s="8"/>
      <c r="AE68" s="16"/>
      <c r="AQ68" s="16"/>
    </row>
    <row r="69" spans="1:44" x14ac:dyDescent="0.35">
      <c r="B69" s="16"/>
      <c r="R69" s="8"/>
    </row>
    <row r="70" spans="1:44" x14ac:dyDescent="0.35">
      <c r="A70" s="28" t="s">
        <v>100</v>
      </c>
      <c r="B70" s="17">
        <f>Изчисление!B13</f>
        <v>0</v>
      </c>
      <c r="C70" s="7" t="s">
        <v>8</v>
      </c>
      <c r="R70" s="8"/>
    </row>
    <row r="71" spans="1:44" x14ac:dyDescent="0.35">
      <c r="A71" s="28" t="s">
        <v>101</v>
      </c>
      <c r="B71" s="17">
        <f>Изчисление!B14</f>
        <v>341</v>
      </c>
      <c r="C71" s="7" t="s">
        <v>8</v>
      </c>
      <c r="R71" s="8"/>
    </row>
    <row r="72" spans="1:44" x14ac:dyDescent="0.35">
      <c r="A72" s="28" t="s">
        <v>102</v>
      </c>
      <c r="B72" s="13">
        <f>Изчисление!B16</f>
        <v>10.5</v>
      </c>
      <c r="C72" s="7" t="s">
        <v>14</v>
      </c>
      <c r="R72" s="8"/>
    </row>
    <row r="73" spans="1:44" x14ac:dyDescent="0.35">
      <c r="A73" s="28" t="s">
        <v>103</v>
      </c>
      <c r="B73" s="17">
        <f>Изчисление!B15</f>
        <v>1250</v>
      </c>
      <c r="C73" s="7" t="s">
        <v>104</v>
      </c>
      <c r="R73" s="8"/>
    </row>
    <row r="74" spans="1:44" x14ac:dyDescent="0.35">
      <c r="A74" s="15"/>
      <c r="B74" s="14"/>
      <c r="R74" s="8"/>
    </row>
    <row r="75" spans="1:44" x14ac:dyDescent="0.35">
      <c r="A75" s="7" t="s">
        <v>160</v>
      </c>
      <c r="B75" s="14"/>
      <c r="R75" s="8"/>
    </row>
    <row r="76" spans="1:44" x14ac:dyDescent="0.35">
      <c r="B76" s="14"/>
      <c r="R76" s="8"/>
    </row>
    <row r="77" spans="1:44" x14ac:dyDescent="0.35">
      <c r="A77" s="29" t="s">
        <v>147</v>
      </c>
      <c r="B77" s="44">
        <f>Изчисление!B22</f>
        <v>29.8</v>
      </c>
      <c r="C77" s="14" t="s">
        <v>14</v>
      </c>
      <c r="R77" s="8"/>
    </row>
    <row r="78" spans="1:44" x14ac:dyDescent="0.35">
      <c r="B78" s="44">
        <f>Изчисление!B23</f>
        <v>107.3</v>
      </c>
      <c r="C78" s="14" t="s">
        <v>17</v>
      </c>
      <c r="F78" s="14"/>
      <c r="R78" s="8"/>
    </row>
    <row r="79" spans="1:44" x14ac:dyDescent="0.35">
      <c r="B79" s="18"/>
      <c r="C79" s="14"/>
      <c r="F79" s="14"/>
      <c r="R79" s="8"/>
    </row>
    <row r="80" spans="1:44" x14ac:dyDescent="0.35">
      <c r="B80" s="16"/>
      <c r="I80" s="16"/>
    </row>
    <row r="81" spans="1:9" x14ac:dyDescent="0.35">
      <c r="A81" s="117" t="str">
        <f>Изчисление!L1</f>
        <v>За лек автомобил 2</v>
      </c>
      <c r="B81" s="42"/>
      <c r="C81" s="39"/>
      <c r="D81" s="40"/>
      <c r="I81" s="16"/>
    </row>
    <row r="82" spans="1:9" x14ac:dyDescent="0.35">
      <c r="B82" s="16"/>
      <c r="I82" s="16"/>
    </row>
    <row r="85" spans="1:9" x14ac:dyDescent="0.35">
      <c r="A85" s="8"/>
      <c r="I85" s="7" t="s">
        <v>155</v>
      </c>
    </row>
    <row r="86" spans="1:9" x14ac:dyDescent="0.35">
      <c r="A86" s="8"/>
    </row>
    <row r="87" spans="1:9" x14ac:dyDescent="0.35">
      <c r="B87" s="16"/>
    </row>
    <row r="88" spans="1:9" x14ac:dyDescent="0.35">
      <c r="A88" s="7" t="s">
        <v>149</v>
      </c>
      <c r="B88" s="16"/>
    </row>
    <row r="89" spans="1:9" x14ac:dyDescent="0.35">
      <c r="A89" s="7" t="s">
        <v>150</v>
      </c>
    </row>
    <row r="90" spans="1:9" x14ac:dyDescent="0.35">
      <c r="A90" s="7" t="s">
        <v>304</v>
      </c>
    </row>
    <row r="92" spans="1:9" x14ac:dyDescent="0.35">
      <c r="A92" s="28" t="s">
        <v>123</v>
      </c>
      <c r="B92" s="17">
        <f>Изчисление!M13</f>
        <v>188</v>
      </c>
      <c r="C92" s="7" t="s">
        <v>124</v>
      </c>
    </row>
    <row r="93" spans="1:9" x14ac:dyDescent="0.35">
      <c r="A93" s="32" t="s">
        <v>125</v>
      </c>
      <c r="B93" s="17">
        <f>Изчисление!M14</f>
        <v>186</v>
      </c>
      <c r="C93" s="7" t="s">
        <v>8</v>
      </c>
    </row>
    <row r="94" spans="1:9" x14ac:dyDescent="0.35">
      <c r="A94" s="28" t="s">
        <v>126</v>
      </c>
      <c r="B94" s="13">
        <f>Изчисление!M16</f>
        <v>15.7</v>
      </c>
      <c r="C94" s="7" t="s">
        <v>14</v>
      </c>
    </row>
    <row r="95" spans="1:9" x14ac:dyDescent="0.35">
      <c r="A95" s="28" t="s">
        <v>127</v>
      </c>
      <c r="B95" s="17">
        <f>Изчисление!M15</f>
        <v>1420</v>
      </c>
      <c r="C95" s="7" t="s">
        <v>35</v>
      </c>
    </row>
    <row r="96" spans="1:9" x14ac:dyDescent="0.35">
      <c r="A96" s="15"/>
      <c r="B96" s="8"/>
    </row>
    <row r="97" spans="1:3" x14ac:dyDescent="0.35">
      <c r="A97" s="7" t="s">
        <v>162</v>
      </c>
    </row>
    <row r="99" spans="1:3" x14ac:dyDescent="0.35">
      <c r="A99" s="30" t="s">
        <v>213</v>
      </c>
      <c r="B99" s="44">
        <f>Изчисление!M22</f>
        <v>33.4</v>
      </c>
      <c r="C99" s="14" t="s">
        <v>14</v>
      </c>
    </row>
    <row r="100" spans="1:3" x14ac:dyDescent="0.35">
      <c r="B100" s="131">
        <f>Изчисление!M23</f>
        <v>120.2</v>
      </c>
      <c r="C100" s="7" t="s">
        <v>17</v>
      </c>
    </row>
    <row r="101" spans="1:3" x14ac:dyDescent="0.35">
      <c r="B101" s="16"/>
    </row>
    <row r="102" spans="1:3" x14ac:dyDescent="0.35">
      <c r="B102" s="16"/>
    </row>
    <row r="103" spans="1:3" x14ac:dyDescent="0.35">
      <c r="A103" s="116" t="s">
        <v>300</v>
      </c>
      <c r="B103" s="16"/>
    </row>
    <row r="104" spans="1:3" x14ac:dyDescent="0.35">
      <c r="B104" s="16"/>
    </row>
    <row r="105" spans="1:3" x14ac:dyDescent="0.35">
      <c r="A105" s="117" t="str">
        <f>Изчисление!$A$1</f>
        <v>За лек автомобил 1</v>
      </c>
    </row>
    <row r="106" spans="1:3" x14ac:dyDescent="0.35">
      <c r="A106" s="29" t="s">
        <v>147</v>
      </c>
      <c r="B106" s="44">
        <f>Изчисление!$B$22</f>
        <v>29.8</v>
      </c>
      <c r="C106" s="14" t="s">
        <v>14</v>
      </c>
    </row>
    <row r="107" spans="1:3" x14ac:dyDescent="0.35">
      <c r="B107" s="44">
        <f>Изчисление!$B$23</f>
        <v>107.3</v>
      </c>
      <c r="C107" s="14" t="s">
        <v>17</v>
      </c>
    </row>
    <row r="108" spans="1:3" x14ac:dyDescent="0.35">
      <c r="A108" s="15"/>
      <c r="B108" s="14"/>
    </row>
    <row r="109" spans="1:3" ht="19.2" customHeight="1" x14ac:dyDescent="0.35">
      <c r="A109" s="117" t="str">
        <f>Изчисление!$L$1</f>
        <v>За лек автомобил 2</v>
      </c>
      <c r="B109" s="14"/>
    </row>
    <row r="110" spans="1:3" x14ac:dyDescent="0.35">
      <c r="A110" s="30" t="s">
        <v>213</v>
      </c>
      <c r="B110" s="44">
        <f>Изчисление!$M$22</f>
        <v>33.4</v>
      </c>
      <c r="C110" s="14" t="s">
        <v>14</v>
      </c>
    </row>
    <row r="111" spans="1:3" x14ac:dyDescent="0.35">
      <c r="B111" s="44">
        <f>Изчисление!$M$23</f>
        <v>120.2</v>
      </c>
      <c r="C111" s="7" t="s">
        <v>17</v>
      </c>
    </row>
    <row r="112" spans="1:3" x14ac:dyDescent="0.35">
      <c r="B112" s="16"/>
    </row>
    <row r="113" spans="1:17" x14ac:dyDescent="0.35">
      <c r="A113" s="120" t="s">
        <v>273</v>
      </c>
      <c r="B113" s="16"/>
    </row>
    <row r="114" spans="1:17" x14ac:dyDescent="0.35">
      <c r="P114" s="39"/>
      <c r="Q114" s="39"/>
    </row>
    <row r="115" spans="1:17" x14ac:dyDescent="0.35">
      <c r="A115" s="117" t="str">
        <f>Изчисление!A1</f>
        <v>За лек автомобил 1</v>
      </c>
      <c r="B115" s="81"/>
      <c r="C115" s="80"/>
    </row>
    <row r="116" spans="1:17" x14ac:dyDescent="0.35">
      <c r="A116" s="80"/>
      <c r="B116" s="80"/>
      <c r="C116" s="80"/>
    </row>
    <row r="117" spans="1:17" x14ac:dyDescent="0.35">
      <c r="A117" s="86" t="s">
        <v>249</v>
      </c>
      <c r="B117" s="150" t="s">
        <v>250</v>
      </c>
      <c r="C117" s="150"/>
      <c r="D117" s="150"/>
      <c r="E117" s="150" t="s">
        <v>251</v>
      </c>
      <c r="F117" s="150"/>
      <c r="G117" s="150"/>
    </row>
    <row r="118" spans="1:17" x14ac:dyDescent="0.35">
      <c r="A118" s="87" t="s">
        <v>269</v>
      </c>
      <c r="B118" s="155" t="s">
        <v>288</v>
      </c>
      <c r="C118" s="156"/>
      <c r="D118" s="157"/>
      <c r="E118" s="155" t="s">
        <v>291</v>
      </c>
      <c r="F118" s="156"/>
      <c r="G118" s="157"/>
    </row>
    <row r="119" spans="1:17" x14ac:dyDescent="0.35">
      <c r="A119" s="87" t="s">
        <v>270</v>
      </c>
      <c r="B119" s="155">
        <v>0</v>
      </c>
      <c r="C119" s="156"/>
      <c r="D119" s="157"/>
      <c r="E119" s="155">
        <v>0</v>
      </c>
      <c r="F119" s="156"/>
      <c r="G119" s="157"/>
    </row>
    <row r="120" spans="1:17" x14ac:dyDescent="0.35">
      <c r="A120" s="80"/>
      <c r="B120" s="80"/>
      <c r="E120" s="80"/>
    </row>
    <row r="121" spans="1:17" x14ac:dyDescent="0.35">
      <c r="A121" s="86" t="s">
        <v>255</v>
      </c>
      <c r="B121" s="159" t="s">
        <v>250</v>
      </c>
      <c r="C121" s="160"/>
      <c r="D121" s="161"/>
      <c r="E121" s="159" t="s">
        <v>251</v>
      </c>
      <c r="F121" s="160"/>
      <c r="G121" s="161"/>
    </row>
    <row r="122" spans="1:17" x14ac:dyDescent="0.35">
      <c r="A122" s="87" t="s">
        <v>269</v>
      </c>
      <c r="B122" s="155" t="s">
        <v>288</v>
      </c>
      <c r="C122" s="156"/>
      <c r="D122" s="157"/>
      <c r="E122" s="155" t="s">
        <v>291</v>
      </c>
      <c r="F122" s="156"/>
      <c r="G122" s="157"/>
    </row>
    <row r="123" spans="1:17" x14ac:dyDescent="0.35">
      <c r="A123" s="87" t="s">
        <v>270</v>
      </c>
      <c r="B123" s="155" t="s">
        <v>289</v>
      </c>
      <c r="C123" s="156"/>
      <c r="D123" s="157"/>
      <c r="E123" s="155" t="s">
        <v>290</v>
      </c>
      <c r="F123" s="156"/>
      <c r="G123" s="157"/>
    </row>
    <row r="124" spans="1:17" x14ac:dyDescent="0.35">
      <c r="A124" s="80"/>
      <c r="B124" s="80"/>
      <c r="E124" s="80"/>
    </row>
    <row r="125" spans="1:17" x14ac:dyDescent="0.35">
      <c r="A125" s="86" t="s">
        <v>275</v>
      </c>
      <c r="B125" s="159" t="s">
        <v>250</v>
      </c>
      <c r="C125" s="160"/>
      <c r="D125" s="161"/>
      <c r="E125" s="159" t="s">
        <v>251</v>
      </c>
      <c r="F125" s="160"/>
      <c r="G125" s="161"/>
    </row>
    <row r="126" spans="1:17" x14ac:dyDescent="0.35">
      <c r="A126" s="87" t="s">
        <v>269</v>
      </c>
      <c r="B126" s="155">
        <v>0</v>
      </c>
      <c r="C126" s="156"/>
      <c r="D126" s="157"/>
      <c r="E126" s="155">
        <v>0</v>
      </c>
      <c r="F126" s="156"/>
      <c r="G126" s="157"/>
    </row>
    <row r="127" spans="1:17" x14ac:dyDescent="0.35">
      <c r="A127" s="87" t="s">
        <v>270</v>
      </c>
      <c r="B127" s="155" t="s">
        <v>289</v>
      </c>
      <c r="C127" s="156"/>
      <c r="D127" s="157"/>
      <c r="E127" s="155" t="s">
        <v>290</v>
      </c>
      <c r="F127" s="156"/>
      <c r="G127" s="157"/>
    </row>
    <row r="129" spans="1:7" x14ac:dyDescent="0.35">
      <c r="A129" s="119" t="s">
        <v>274</v>
      </c>
      <c r="B129" s="80"/>
      <c r="C129" s="80"/>
    </row>
    <row r="130" spans="1:7" x14ac:dyDescent="0.35">
      <c r="A130" s="80"/>
      <c r="B130" s="80"/>
      <c r="C130" s="80"/>
    </row>
    <row r="131" spans="1:7" x14ac:dyDescent="0.35">
      <c r="A131" s="86" t="s">
        <v>249</v>
      </c>
      <c r="B131" s="150" t="s">
        <v>250</v>
      </c>
      <c r="C131" s="150"/>
      <c r="D131" s="150"/>
      <c r="E131" s="150" t="s">
        <v>251</v>
      </c>
      <c r="F131" s="150"/>
      <c r="G131" s="150"/>
    </row>
    <row r="132" spans="1:7" x14ac:dyDescent="0.35">
      <c r="A132" s="87" t="s">
        <v>253</v>
      </c>
      <c r="B132" s="151">
        <f>Изчисление!B163</f>
        <v>-107.3</v>
      </c>
      <c r="C132" s="151"/>
      <c r="D132" s="151"/>
      <c r="E132" s="151">
        <f>Изчисление!C163</f>
        <v>0</v>
      </c>
      <c r="F132" s="151"/>
      <c r="G132" s="151"/>
    </row>
    <row r="133" spans="1:7" x14ac:dyDescent="0.35">
      <c r="A133" s="87" t="s">
        <v>254</v>
      </c>
      <c r="B133" s="151">
        <f>Изчисление!B164</f>
        <v>0</v>
      </c>
      <c r="C133" s="151"/>
      <c r="D133" s="151"/>
      <c r="E133" s="151">
        <f>Изчисление!C164</f>
        <v>0</v>
      </c>
      <c r="F133" s="151"/>
      <c r="G133" s="151"/>
    </row>
    <row r="134" spans="1:7" x14ac:dyDescent="0.35">
      <c r="A134" s="80"/>
      <c r="B134" s="94"/>
      <c r="E134" s="94"/>
    </row>
    <row r="135" spans="1:7" x14ac:dyDescent="0.35">
      <c r="A135" s="86" t="s">
        <v>255</v>
      </c>
      <c r="B135" s="152" t="s">
        <v>250</v>
      </c>
      <c r="C135" s="152"/>
      <c r="D135" s="152"/>
      <c r="E135" s="152" t="s">
        <v>251</v>
      </c>
      <c r="F135" s="152"/>
      <c r="G135" s="152"/>
    </row>
    <row r="136" spans="1:7" x14ac:dyDescent="0.35">
      <c r="A136" s="87" t="s">
        <v>253</v>
      </c>
      <c r="B136" s="151">
        <f>Изчисление!B168</f>
        <v>-107.3</v>
      </c>
      <c r="C136" s="151"/>
      <c r="D136" s="151"/>
      <c r="E136" s="151">
        <f>Изчисление!C168</f>
        <v>0</v>
      </c>
      <c r="F136" s="151"/>
      <c r="G136" s="151"/>
    </row>
    <row r="137" spans="1:7" x14ac:dyDescent="0.35">
      <c r="A137" s="87" t="s">
        <v>254</v>
      </c>
      <c r="B137" s="151">
        <f>Изчисление!B169</f>
        <v>-71.599999999999994</v>
      </c>
      <c r="C137" s="151"/>
      <c r="D137" s="151"/>
      <c r="E137" s="151">
        <f>Изчисление!C169</f>
        <v>-12.3</v>
      </c>
      <c r="F137" s="151"/>
      <c r="G137" s="151"/>
    </row>
    <row r="138" spans="1:7" x14ac:dyDescent="0.35">
      <c r="A138" s="80"/>
      <c r="B138" s="94"/>
      <c r="E138" s="94"/>
    </row>
    <row r="139" spans="1:7" x14ac:dyDescent="0.35">
      <c r="A139" s="86" t="s">
        <v>275</v>
      </c>
      <c r="B139" s="152" t="s">
        <v>250</v>
      </c>
      <c r="C139" s="152"/>
      <c r="D139" s="152"/>
      <c r="E139" s="152" t="s">
        <v>251</v>
      </c>
      <c r="F139" s="152"/>
      <c r="G139" s="152"/>
    </row>
    <row r="140" spans="1:7" x14ac:dyDescent="0.35">
      <c r="A140" s="87" t="s">
        <v>253</v>
      </c>
      <c r="B140" s="151">
        <f>Изчисление!B173</f>
        <v>0</v>
      </c>
      <c r="C140" s="151"/>
      <c r="D140" s="151"/>
      <c r="E140" s="151">
        <f>Изчисление!C173</f>
        <v>0</v>
      </c>
      <c r="F140" s="151"/>
      <c r="G140" s="151"/>
    </row>
    <row r="141" spans="1:7" x14ac:dyDescent="0.35">
      <c r="A141" s="87" t="s">
        <v>254</v>
      </c>
      <c r="B141" s="151">
        <f>Изчисление!B174</f>
        <v>-71.599999999999994</v>
      </c>
      <c r="C141" s="151"/>
      <c r="D141" s="151"/>
      <c r="E141" s="151">
        <f>Изчисление!C174</f>
        <v>-12.3</v>
      </c>
      <c r="F141" s="151"/>
      <c r="G141" s="151"/>
    </row>
    <row r="142" spans="1:7" x14ac:dyDescent="0.35">
      <c r="A142" s="82"/>
      <c r="B142" s="111"/>
      <c r="C142" s="111"/>
      <c r="D142" s="111"/>
      <c r="E142" s="111"/>
      <c r="F142" s="111"/>
      <c r="G142" s="111"/>
    </row>
    <row r="143" spans="1:7" x14ac:dyDescent="0.35">
      <c r="A143" s="82"/>
      <c r="B143" s="111"/>
      <c r="C143" s="111"/>
      <c r="D143" s="111"/>
      <c r="E143" s="111"/>
      <c r="F143" s="111"/>
      <c r="G143" s="111"/>
    </row>
    <row r="144" spans="1:7" x14ac:dyDescent="0.35">
      <c r="A144" s="117" t="str">
        <f>Изчисление!L1</f>
        <v>За лек автомобил 2</v>
      </c>
    </row>
    <row r="145" spans="1:7" x14ac:dyDescent="0.35">
      <c r="A145" s="80"/>
      <c r="B145" s="80"/>
      <c r="C145" s="80"/>
    </row>
    <row r="146" spans="1:7" x14ac:dyDescent="0.35">
      <c r="A146" s="86" t="s">
        <v>249</v>
      </c>
      <c r="B146" s="150" t="s">
        <v>250</v>
      </c>
      <c r="C146" s="150"/>
      <c r="D146" s="150"/>
      <c r="E146" s="150" t="s">
        <v>251</v>
      </c>
      <c r="F146" s="150"/>
      <c r="G146" s="150"/>
    </row>
    <row r="147" spans="1:7" x14ac:dyDescent="0.35">
      <c r="A147" s="87" t="s">
        <v>269</v>
      </c>
      <c r="B147" s="155" t="s">
        <v>292</v>
      </c>
      <c r="C147" s="156"/>
      <c r="D147" s="157"/>
      <c r="E147" s="155" t="s">
        <v>293</v>
      </c>
      <c r="F147" s="156"/>
      <c r="G147" s="157"/>
    </row>
    <row r="148" spans="1:7" x14ac:dyDescent="0.35">
      <c r="A148" s="87" t="s">
        <v>270</v>
      </c>
      <c r="B148" s="155">
        <v>0</v>
      </c>
      <c r="C148" s="156"/>
      <c r="D148" s="157"/>
      <c r="E148" s="155">
        <v>0</v>
      </c>
      <c r="F148" s="156"/>
      <c r="G148" s="157"/>
    </row>
    <row r="149" spans="1:7" x14ac:dyDescent="0.35">
      <c r="A149" s="80"/>
      <c r="B149" s="80"/>
      <c r="E149" s="80"/>
    </row>
    <row r="150" spans="1:7" x14ac:dyDescent="0.35">
      <c r="A150" s="86" t="s">
        <v>255</v>
      </c>
      <c r="B150" s="159" t="s">
        <v>250</v>
      </c>
      <c r="C150" s="160"/>
      <c r="D150" s="161"/>
      <c r="E150" s="159" t="s">
        <v>251</v>
      </c>
      <c r="F150" s="160"/>
      <c r="G150" s="161"/>
    </row>
    <row r="151" spans="1:7" x14ac:dyDescent="0.35">
      <c r="A151" s="87" t="s">
        <v>269</v>
      </c>
      <c r="B151" s="155" t="s">
        <v>292</v>
      </c>
      <c r="C151" s="156"/>
      <c r="D151" s="157"/>
      <c r="E151" s="155" t="s">
        <v>293</v>
      </c>
      <c r="F151" s="156"/>
      <c r="G151" s="157"/>
    </row>
    <row r="152" spans="1:7" x14ac:dyDescent="0.35">
      <c r="A152" s="87" t="s">
        <v>270</v>
      </c>
      <c r="B152" s="155" t="s">
        <v>294</v>
      </c>
      <c r="C152" s="156"/>
      <c r="D152" s="157"/>
      <c r="E152" s="155" t="s">
        <v>295</v>
      </c>
      <c r="F152" s="156"/>
      <c r="G152" s="157"/>
    </row>
    <row r="153" spans="1:7" x14ac:dyDescent="0.35">
      <c r="A153" s="80"/>
      <c r="B153" s="80"/>
      <c r="E153" s="80"/>
    </row>
    <row r="154" spans="1:7" x14ac:dyDescent="0.35">
      <c r="A154" s="86" t="s">
        <v>275</v>
      </c>
      <c r="B154" s="159" t="s">
        <v>250</v>
      </c>
      <c r="C154" s="160"/>
      <c r="D154" s="161"/>
      <c r="E154" s="159" t="s">
        <v>251</v>
      </c>
      <c r="F154" s="160"/>
      <c r="G154" s="161"/>
    </row>
    <row r="155" spans="1:7" x14ac:dyDescent="0.35">
      <c r="A155" s="87" t="s">
        <v>269</v>
      </c>
      <c r="B155" s="155">
        <v>0</v>
      </c>
      <c r="C155" s="156"/>
      <c r="D155" s="157"/>
      <c r="E155" s="155">
        <v>0</v>
      </c>
      <c r="F155" s="156"/>
      <c r="G155" s="157"/>
    </row>
    <row r="156" spans="1:7" x14ac:dyDescent="0.35">
      <c r="A156" s="87" t="s">
        <v>270</v>
      </c>
      <c r="B156" s="155" t="s">
        <v>294</v>
      </c>
      <c r="C156" s="156"/>
      <c r="D156" s="157"/>
      <c r="E156" s="155" t="s">
        <v>295</v>
      </c>
      <c r="F156" s="156"/>
      <c r="G156" s="157"/>
    </row>
    <row r="159" spans="1:7" x14ac:dyDescent="0.35">
      <c r="A159" s="119" t="s">
        <v>274</v>
      </c>
      <c r="B159" s="80"/>
      <c r="C159" s="80"/>
    </row>
    <row r="160" spans="1:7" x14ac:dyDescent="0.35">
      <c r="A160" s="80"/>
      <c r="B160" s="80"/>
      <c r="C160" s="80"/>
    </row>
    <row r="161" spans="1:7" x14ac:dyDescent="0.35">
      <c r="A161" s="86" t="s">
        <v>249</v>
      </c>
      <c r="B161" s="150" t="s">
        <v>250</v>
      </c>
      <c r="C161" s="150"/>
      <c r="D161" s="150"/>
      <c r="E161" s="150" t="s">
        <v>251</v>
      </c>
      <c r="F161" s="150"/>
      <c r="G161" s="150"/>
    </row>
    <row r="162" spans="1:7" x14ac:dyDescent="0.35">
      <c r="A162" s="87" t="s">
        <v>253</v>
      </c>
      <c r="B162" s="151">
        <f>Изчисление!H163</f>
        <v>119</v>
      </c>
      <c r="C162" s="151"/>
      <c r="D162" s="151"/>
      <c r="E162" s="151">
        <f>Изчисление!I163</f>
        <v>16.7</v>
      </c>
      <c r="F162" s="151"/>
      <c r="G162" s="151"/>
    </row>
    <row r="163" spans="1:7" x14ac:dyDescent="0.35">
      <c r="A163" s="87" t="s">
        <v>254</v>
      </c>
      <c r="B163" s="151">
        <f>Изчисление!H164</f>
        <v>0</v>
      </c>
      <c r="C163" s="151"/>
      <c r="D163" s="151"/>
      <c r="E163" s="151">
        <f>Изчисление!I164</f>
        <v>0</v>
      </c>
      <c r="F163" s="151"/>
      <c r="G163" s="151"/>
    </row>
    <row r="164" spans="1:7" x14ac:dyDescent="0.35">
      <c r="A164" s="80"/>
      <c r="B164" s="94"/>
      <c r="E164" s="94"/>
    </row>
    <row r="165" spans="1:7" x14ac:dyDescent="0.35">
      <c r="A165" s="86" t="s">
        <v>255</v>
      </c>
      <c r="B165" s="152" t="s">
        <v>250</v>
      </c>
      <c r="C165" s="152"/>
      <c r="D165" s="152"/>
      <c r="E165" s="152" t="s">
        <v>251</v>
      </c>
      <c r="F165" s="152"/>
      <c r="G165" s="152"/>
    </row>
    <row r="166" spans="1:7" x14ac:dyDescent="0.35">
      <c r="A166" s="87" t="s">
        <v>253</v>
      </c>
      <c r="B166" s="151">
        <f>Изчисление!H168</f>
        <v>119</v>
      </c>
      <c r="C166" s="151"/>
      <c r="D166" s="151"/>
      <c r="E166" s="151">
        <f>Изчисление!I168</f>
        <v>16.7</v>
      </c>
      <c r="F166" s="151"/>
      <c r="G166" s="151"/>
    </row>
    <row r="167" spans="1:7" x14ac:dyDescent="0.35">
      <c r="A167" s="87" t="s">
        <v>254</v>
      </c>
      <c r="B167" s="151">
        <f>Изчисление!H169</f>
        <v>62.8</v>
      </c>
      <c r="C167" s="151"/>
      <c r="D167" s="151"/>
      <c r="E167" s="151">
        <f>Изчисление!I169</f>
        <v>10.8</v>
      </c>
      <c r="F167" s="151"/>
      <c r="G167" s="151"/>
    </row>
    <row r="168" spans="1:7" x14ac:dyDescent="0.35">
      <c r="A168" s="80"/>
      <c r="B168" s="94"/>
      <c r="E168" s="94"/>
    </row>
    <row r="169" spans="1:7" x14ac:dyDescent="0.35">
      <c r="A169" s="86" t="s">
        <v>275</v>
      </c>
      <c r="B169" s="158" t="s">
        <v>250</v>
      </c>
      <c r="C169" s="158"/>
      <c r="D169" s="158"/>
      <c r="E169" s="158" t="s">
        <v>251</v>
      </c>
      <c r="F169" s="158"/>
      <c r="G169" s="158"/>
    </row>
    <row r="170" spans="1:7" x14ac:dyDescent="0.35">
      <c r="A170" s="87" t="s">
        <v>253</v>
      </c>
      <c r="B170" s="151">
        <f>Изчисление!H173</f>
        <v>0</v>
      </c>
      <c r="C170" s="151"/>
      <c r="D170" s="151"/>
      <c r="E170" s="151">
        <f>Изчисление!I173</f>
        <v>0</v>
      </c>
      <c r="F170" s="151"/>
      <c r="G170" s="151"/>
    </row>
    <row r="171" spans="1:7" x14ac:dyDescent="0.35">
      <c r="A171" s="87" t="s">
        <v>254</v>
      </c>
      <c r="B171" s="151">
        <f>Изчисление!H174</f>
        <v>62.8</v>
      </c>
      <c r="C171" s="151"/>
      <c r="D171" s="151"/>
      <c r="E171" s="151">
        <f>Изчисление!I174</f>
        <v>10.8</v>
      </c>
      <c r="F171" s="151"/>
      <c r="G171" s="151"/>
    </row>
    <row r="173" spans="1:7" x14ac:dyDescent="0.35">
      <c r="A173" s="116" t="s">
        <v>297</v>
      </c>
    </row>
    <row r="175" spans="1:7" x14ac:dyDescent="0.35">
      <c r="A175" s="112" t="s">
        <v>261</v>
      </c>
      <c r="B175" s="153">
        <f>Изчисление!C152</f>
        <v>29.8</v>
      </c>
      <c r="C175" s="153"/>
      <c r="D175" s="153"/>
    </row>
    <row r="176" spans="1:7" x14ac:dyDescent="0.35">
      <c r="A176" s="112" t="s">
        <v>263</v>
      </c>
      <c r="B176" s="153">
        <f>Изчисление!C153</f>
        <v>10.5</v>
      </c>
      <c r="C176" s="153"/>
      <c r="D176" s="153"/>
    </row>
    <row r="177" spans="1:4" x14ac:dyDescent="0.35">
      <c r="A177" s="112" t="s">
        <v>265</v>
      </c>
      <c r="B177" s="154">
        <f>Изчисление!C154</f>
        <v>0</v>
      </c>
      <c r="C177" s="154"/>
      <c r="D177" s="154"/>
    </row>
    <row r="178" spans="1:4" x14ac:dyDescent="0.35">
      <c r="A178" s="88" t="s">
        <v>267</v>
      </c>
      <c r="B178" s="149">
        <f>Изчисление!C155</f>
        <v>341</v>
      </c>
      <c r="C178" s="149"/>
      <c r="D178" s="149"/>
    </row>
    <row r="179" spans="1:4" x14ac:dyDescent="0.35">
      <c r="A179" s="88" t="s">
        <v>258</v>
      </c>
      <c r="B179" s="148">
        <f>Изчисление!C156</f>
        <v>20.2</v>
      </c>
      <c r="C179" s="148"/>
      <c r="D179" s="148"/>
    </row>
    <row r="180" spans="1:4" x14ac:dyDescent="0.35">
      <c r="A180" s="88" t="s">
        <v>262</v>
      </c>
      <c r="B180" s="148">
        <f>Изчисление!I152</f>
        <v>33.4</v>
      </c>
      <c r="C180" s="148"/>
      <c r="D180" s="148"/>
    </row>
    <row r="181" spans="1:4" x14ac:dyDescent="0.35">
      <c r="A181" s="88" t="s">
        <v>264</v>
      </c>
      <c r="B181" s="148">
        <f>Изчисление!I153</f>
        <v>15.7</v>
      </c>
      <c r="C181" s="148"/>
      <c r="D181" s="148"/>
    </row>
    <row r="182" spans="1:4" x14ac:dyDescent="0.35">
      <c r="A182" s="88" t="s">
        <v>266</v>
      </c>
      <c r="B182" s="149">
        <f>Изчисление!I154</f>
        <v>188</v>
      </c>
      <c r="C182" s="149"/>
      <c r="D182" s="149"/>
    </row>
    <row r="183" spans="1:4" x14ac:dyDescent="0.35">
      <c r="A183" s="88" t="s">
        <v>268</v>
      </c>
      <c r="B183" s="149">
        <f>Изчисление!I155</f>
        <v>186</v>
      </c>
      <c r="C183" s="149"/>
      <c r="D183" s="149"/>
    </row>
    <row r="184" spans="1:4" x14ac:dyDescent="0.35">
      <c r="A184" s="88" t="s">
        <v>259</v>
      </c>
      <c r="B184" s="148">
        <f>Изчисление!I156</f>
        <v>17.7</v>
      </c>
      <c r="C184" s="148"/>
      <c r="D184" s="148"/>
    </row>
    <row r="185" spans="1:4" x14ac:dyDescent="0.35">
      <c r="A185" s="82"/>
      <c r="B185" s="113"/>
      <c r="C185" s="113"/>
      <c r="D185" s="113"/>
    </row>
    <row r="186" spans="1:4" x14ac:dyDescent="0.35">
      <c r="A186" s="121" t="s">
        <v>296</v>
      </c>
      <c r="B186" s="113"/>
      <c r="C186" s="113"/>
      <c r="D186" s="113"/>
    </row>
    <row r="187" spans="1:4" x14ac:dyDescent="0.35">
      <c r="A187" s="82"/>
      <c r="B187" s="113"/>
      <c r="C187" s="113"/>
      <c r="D187" s="113"/>
    </row>
    <row r="188" spans="1:4" x14ac:dyDescent="0.35">
      <c r="A188" s="82"/>
      <c r="B188" s="113"/>
      <c r="C188" s="113"/>
      <c r="D188" s="113"/>
    </row>
    <row r="189" spans="1:4" x14ac:dyDescent="0.35">
      <c r="A189" s="82"/>
      <c r="B189" s="113"/>
      <c r="C189" s="113"/>
      <c r="D189" s="113"/>
    </row>
    <row r="190" spans="1:4" x14ac:dyDescent="0.35">
      <c r="A190" s="82"/>
      <c r="B190" s="113"/>
      <c r="C190" s="113"/>
      <c r="D190" s="113"/>
    </row>
    <row r="191" spans="1:4" x14ac:dyDescent="0.35">
      <c r="A191" s="82"/>
      <c r="B191" s="113"/>
      <c r="C191" s="113"/>
      <c r="D191" s="113"/>
    </row>
    <row r="192" spans="1:4" x14ac:dyDescent="0.35">
      <c r="A192" s="82"/>
      <c r="B192" s="113"/>
      <c r="C192" s="113"/>
      <c r="D192" s="113"/>
    </row>
    <row r="193" spans="1:9" x14ac:dyDescent="0.35">
      <c r="A193" s="82"/>
      <c r="B193" s="113"/>
      <c r="C193" s="113"/>
      <c r="D193" s="113"/>
    </row>
    <row r="194" spans="1:9" x14ac:dyDescent="0.35">
      <c r="A194" s="82"/>
      <c r="B194" s="113"/>
      <c r="C194" s="113"/>
      <c r="D194" s="113"/>
    </row>
    <row r="195" spans="1:9" x14ac:dyDescent="0.35">
      <c r="A195" s="82"/>
      <c r="B195" s="113"/>
      <c r="C195" s="113"/>
      <c r="D195" s="113"/>
    </row>
    <row r="196" spans="1:9" x14ac:dyDescent="0.35">
      <c r="A196" s="82"/>
      <c r="B196" s="113"/>
      <c r="C196" s="113"/>
      <c r="D196" s="113"/>
    </row>
    <row r="197" spans="1:9" x14ac:dyDescent="0.35">
      <c r="A197" s="82"/>
      <c r="B197" s="113"/>
      <c r="C197" s="113"/>
      <c r="D197" s="113"/>
    </row>
    <row r="198" spans="1:9" x14ac:dyDescent="0.35">
      <c r="A198" s="82"/>
      <c r="B198" s="113"/>
      <c r="C198" s="113"/>
      <c r="D198" s="113"/>
    </row>
    <row r="199" spans="1:9" x14ac:dyDescent="0.35">
      <c r="A199" s="82"/>
      <c r="B199" s="113"/>
      <c r="C199" s="113"/>
      <c r="D199" s="113"/>
    </row>
    <row r="200" spans="1:9" x14ac:dyDescent="0.35">
      <c r="A200" s="116" t="s">
        <v>40</v>
      </c>
      <c r="B200" s="113"/>
      <c r="C200" s="113"/>
      <c r="D200" s="113"/>
    </row>
    <row r="201" spans="1:9" x14ac:dyDescent="0.35">
      <c r="B201" s="113"/>
      <c r="C201" s="113"/>
      <c r="D201" s="113"/>
    </row>
    <row r="202" spans="1:9" x14ac:dyDescent="0.35">
      <c r="A202" s="145" t="str">
        <f>Изчисление!A1</f>
        <v>За лек автомобил 1</v>
      </c>
      <c r="B202" s="18"/>
      <c r="C202" s="14"/>
      <c r="F202" s="14"/>
    </row>
    <row r="203" spans="1:9" x14ac:dyDescent="0.35">
      <c r="B203" s="18"/>
      <c r="C203" s="14"/>
      <c r="F203" s="14"/>
    </row>
    <row r="204" spans="1:9" x14ac:dyDescent="0.35">
      <c r="B204" s="18"/>
      <c r="C204" s="14"/>
      <c r="I204" s="7" t="s">
        <v>154</v>
      </c>
    </row>
    <row r="205" spans="1:9" x14ac:dyDescent="0.35">
      <c r="B205" s="18"/>
      <c r="C205" s="14"/>
      <c r="F205" s="14"/>
    </row>
    <row r="206" spans="1:9" x14ac:dyDescent="0.35">
      <c r="A206" s="7" t="s">
        <v>105</v>
      </c>
      <c r="B206" s="18"/>
      <c r="C206" s="14"/>
      <c r="F206" s="14"/>
    </row>
    <row r="207" spans="1:9" x14ac:dyDescent="0.35">
      <c r="A207" s="7" t="s">
        <v>106</v>
      </c>
      <c r="B207" s="18"/>
      <c r="C207" s="14"/>
      <c r="F207" s="14"/>
    </row>
    <row r="208" spans="1:9" x14ac:dyDescent="0.35">
      <c r="A208" s="7" t="s">
        <v>107</v>
      </c>
      <c r="B208" s="18"/>
      <c r="C208" s="14"/>
      <c r="F208" s="14"/>
    </row>
    <row r="209" spans="1:9" x14ac:dyDescent="0.35">
      <c r="A209" s="7" t="s">
        <v>108</v>
      </c>
      <c r="B209" s="14"/>
      <c r="I209" s="9"/>
    </row>
    <row r="210" spans="1:9" x14ac:dyDescent="0.35">
      <c r="A210" s="7" t="s">
        <v>306</v>
      </c>
    </row>
    <row r="211" spans="1:9" x14ac:dyDescent="0.35">
      <c r="I211" s="16"/>
    </row>
    <row r="212" spans="1:9" x14ac:dyDescent="0.35">
      <c r="A212" s="4" t="s">
        <v>140</v>
      </c>
      <c r="B212" s="17">
        <f>Изчисление!B55</f>
        <v>0</v>
      </c>
      <c r="C212" s="7" t="s">
        <v>42</v>
      </c>
      <c r="I212" s="16"/>
    </row>
    <row r="213" spans="1:9" ht="21" x14ac:dyDescent="0.4">
      <c r="A213" s="5" t="s">
        <v>141</v>
      </c>
      <c r="B213" s="17">
        <f>Изчисление!B56</f>
        <v>0.7</v>
      </c>
      <c r="C213" s="7" t="s">
        <v>135</v>
      </c>
      <c r="I213" s="16"/>
    </row>
    <row r="214" spans="1:9" x14ac:dyDescent="0.35">
      <c r="A214" s="5" t="s">
        <v>142</v>
      </c>
      <c r="B214" s="17">
        <f>Изчисление!B57</f>
        <v>0</v>
      </c>
      <c r="C214" s="7" t="s">
        <v>109</v>
      </c>
      <c r="I214" s="16"/>
    </row>
    <row r="215" spans="1:9" x14ac:dyDescent="0.35">
      <c r="A215" s="6" t="s">
        <v>49</v>
      </c>
      <c r="B215" s="13">
        <f>Изчисление!B58</f>
        <v>6.87</v>
      </c>
      <c r="C215" s="7" t="s">
        <v>38</v>
      </c>
      <c r="I215" s="16"/>
    </row>
    <row r="216" spans="1:9" x14ac:dyDescent="0.35">
      <c r="A216" s="4" t="s">
        <v>53</v>
      </c>
      <c r="B216" s="13">
        <f>Изчисление!B59</f>
        <v>0</v>
      </c>
      <c r="C216" s="7" t="s">
        <v>143</v>
      </c>
      <c r="I216" s="16"/>
    </row>
    <row r="217" spans="1:9" x14ac:dyDescent="0.35">
      <c r="A217" s="4" t="s">
        <v>56</v>
      </c>
      <c r="B217" s="13">
        <f>Изчисление!B60</f>
        <v>0</v>
      </c>
      <c r="C217" s="7" t="s">
        <v>314</v>
      </c>
      <c r="I217" s="16"/>
    </row>
    <row r="218" spans="1:9" x14ac:dyDescent="0.35">
      <c r="A218" s="4" t="s">
        <v>59</v>
      </c>
      <c r="B218" s="13">
        <f>Изчисление!B61</f>
        <v>0</v>
      </c>
      <c r="C218" s="7" t="s">
        <v>308</v>
      </c>
      <c r="I218" s="16"/>
    </row>
    <row r="219" spans="1:9" x14ac:dyDescent="0.35">
      <c r="A219" s="4" t="s">
        <v>62</v>
      </c>
      <c r="B219" s="44">
        <f>Изчисление!B62</f>
        <v>29.8</v>
      </c>
      <c r="C219" s="7" t="s">
        <v>144</v>
      </c>
      <c r="I219" s="16"/>
    </row>
    <row r="220" spans="1:9" x14ac:dyDescent="0.35">
      <c r="A220" s="15"/>
      <c r="B220" s="11"/>
      <c r="I220" s="16"/>
    </row>
    <row r="221" spans="1:9" x14ac:dyDescent="0.35">
      <c r="A221" s="7" t="s">
        <v>161</v>
      </c>
      <c r="I221" s="16"/>
    </row>
    <row r="222" spans="1:9" x14ac:dyDescent="0.35">
      <c r="I222" s="16"/>
    </row>
    <row r="223" spans="1:9" x14ac:dyDescent="0.35">
      <c r="A223" s="29" t="s">
        <v>146</v>
      </c>
      <c r="B223" s="44">
        <f>Изчисление!B66</f>
        <v>29.8</v>
      </c>
      <c r="C223" s="7" t="s">
        <v>38</v>
      </c>
      <c r="I223" s="16"/>
    </row>
    <row r="224" spans="1:9" x14ac:dyDescent="0.35">
      <c r="B224" s="44">
        <f>Изчисление!B67</f>
        <v>107.3</v>
      </c>
      <c r="C224" s="7" t="s">
        <v>17</v>
      </c>
      <c r="I224" s="16"/>
    </row>
    <row r="225" spans="1:9" x14ac:dyDescent="0.35">
      <c r="A225" s="82"/>
      <c r="B225" s="113"/>
      <c r="C225" s="113"/>
      <c r="D225" s="113"/>
    </row>
    <row r="226" spans="1:9" x14ac:dyDescent="0.35">
      <c r="A226" s="82"/>
      <c r="B226" s="113"/>
      <c r="C226" s="113"/>
      <c r="D226" s="113"/>
    </row>
    <row r="227" spans="1:9" x14ac:dyDescent="0.35">
      <c r="A227" s="82"/>
      <c r="B227" s="113"/>
      <c r="C227" s="113"/>
      <c r="D227" s="113"/>
    </row>
    <row r="228" spans="1:9" x14ac:dyDescent="0.35">
      <c r="A228" s="145" t="str">
        <f>Изчисление!L1</f>
        <v>За лек автомобил 2</v>
      </c>
      <c r="B228" s="113"/>
      <c r="C228" s="113"/>
      <c r="D228" s="113"/>
    </row>
    <row r="230" spans="1:9" x14ac:dyDescent="0.35">
      <c r="I230" s="7" t="s">
        <v>163</v>
      </c>
    </row>
    <row r="232" spans="1:9" x14ac:dyDescent="0.35">
      <c r="A232" s="7" t="s">
        <v>128</v>
      </c>
    </row>
    <row r="233" spans="1:9" x14ac:dyDescent="0.35">
      <c r="A233" s="7" t="s">
        <v>106</v>
      </c>
    </row>
    <row r="234" spans="1:9" x14ac:dyDescent="0.35">
      <c r="A234" s="7" t="s">
        <v>129</v>
      </c>
    </row>
    <row r="235" spans="1:9" x14ac:dyDescent="0.35">
      <c r="A235" s="7" t="s">
        <v>130</v>
      </c>
    </row>
    <row r="236" spans="1:9" x14ac:dyDescent="0.35">
      <c r="A236" s="7" t="s">
        <v>307</v>
      </c>
    </row>
    <row r="239" spans="1:9" x14ac:dyDescent="0.35">
      <c r="A239" s="4" t="s">
        <v>44</v>
      </c>
      <c r="B239" s="17">
        <f>Изчисление!M55</f>
        <v>0</v>
      </c>
      <c r="C239" s="7" t="s">
        <v>42</v>
      </c>
    </row>
    <row r="240" spans="1:9" ht="21" x14ac:dyDescent="0.4">
      <c r="A240" s="5" t="s">
        <v>46</v>
      </c>
      <c r="B240" s="17">
        <f>Изчисление!M56</f>
        <v>0.7</v>
      </c>
      <c r="C240" s="7" t="s">
        <v>135</v>
      </c>
    </row>
    <row r="241" spans="1:9" x14ac:dyDescent="0.35">
      <c r="A241" s="5" t="s">
        <v>47</v>
      </c>
      <c r="B241" s="17">
        <f>Изчисление!M57</f>
        <v>0</v>
      </c>
      <c r="C241" s="7" t="s">
        <v>109</v>
      </c>
    </row>
    <row r="242" spans="1:9" x14ac:dyDescent="0.35">
      <c r="A242" s="6" t="s">
        <v>52</v>
      </c>
      <c r="B242" s="13">
        <f>Изчисление!M58</f>
        <v>6.87</v>
      </c>
      <c r="C242" s="7" t="s">
        <v>38</v>
      </c>
    </row>
    <row r="243" spans="1:9" x14ac:dyDescent="0.35">
      <c r="A243" s="4" t="s">
        <v>55</v>
      </c>
      <c r="B243" s="13">
        <f>Изчисление!M59</f>
        <v>0</v>
      </c>
      <c r="C243" s="7" t="s">
        <v>143</v>
      </c>
    </row>
    <row r="244" spans="1:9" x14ac:dyDescent="0.35">
      <c r="A244" s="4" t="s">
        <v>58</v>
      </c>
      <c r="B244" s="13">
        <f>Изчисление!M60</f>
        <v>0</v>
      </c>
      <c r="C244" s="7" t="s">
        <v>314</v>
      </c>
    </row>
    <row r="245" spans="1:9" x14ac:dyDescent="0.35">
      <c r="A245" s="4" t="s">
        <v>61</v>
      </c>
      <c r="B245" s="13">
        <f>Изчисление!M61</f>
        <v>0</v>
      </c>
      <c r="C245" s="7" t="s">
        <v>308</v>
      </c>
    </row>
    <row r="246" spans="1:9" x14ac:dyDescent="0.35">
      <c r="A246" s="4" t="s">
        <v>151</v>
      </c>
      <c r="B246" s="44">
        <f>Изчисление!M62</f>
        <v>33.4</v>
      </c>
      <c r="C246" s="7" t="s">
        <v>144</v>
      </c>
    </row>
    <row r="248" spans="1:9" x14ac:dyDescent="0.35">
      <c r="A248" s="7" t="s">
        <v>214</v>
      </c>
    </row>
    <row r="250" spans="1:9" x14ac:dyDescent="0.35">
      <c r="A250" s="29" t="s">
        <v>131</v>
      </c>
      <c r="B250" s="131">
        <f>Изчисление!M66</f>
        <v>33.4</v>
      </c>
      <c r="C250" s="7" t="s">
        <v>14</v>
      </c>
    </row>
    <row r="251" spans="1:9" x14ac:dyDescent="0.35">
      <c r="B251" s="131">
        <f>Изчисление!M67</f>
        <v>120.2</v>
      </c>
      <c r="C251" s="7" t="s">
        <v>17</v>
      </c>
    </row>
    <row r="252" spans="1:9" x14ac:dyDescent="0.35">
      <c r="B252" s="16"/>
      <c r="I252" s="16"/>
    </row>
    <row r="253" spans="1:9" x14ac:dyDescent="0.35">
      <c r="B253" s="16"/>
      <c r="I253" s="16"/>
    </row>
    <row r="254" spans="1:9" x14ac:dyDescent="0.35">
      <c r="B254" s="16"/>
      <c r="I254" s="16"/>
    </row>
    <row r="255" spans="1:9" x14ac:dyDescent="0.35">
      <c r="A255" s="116" t="s">
        <v>153</v>
      </c>
      <c r="B255" s="16"/>
      <c r="I255" s="16"/>
    </row>
    <row r="256" spans="1:9" x14ac:dyDescent="0.35">
      <c r="B256" s="16"/>
      <c r="I256" s="16"/>
    </row>
    <row r="257" spans="1:9" x14ac:dyDescent="0.35">
      <c r="B257" s="16"/>
      <c r="I257" s="16"/>
    </row>
    <row r="258" spans="1:9" x14ac:dyDescent="0.35">
      <c r="A258" s="117" t="str">
        <f>Изчисление!A1</f>
        <v>За лек автомобил 1</v>
      </c>
      <c r="B258" s="42"/>
      <c r="C258" s="39"/>
      <c r="D258" s="40"/>
      <c r="I258" s="16"/>
    </row>
    <row r="259" spans="1:9" x14ac:dyDescent="0.35">
      <c r="B259" s="16"/>
      <c r="I259" s="16"/>
    </row>
    <row r="260" spans="1:9" x14ac:dyDescent="0.35">
      <c r="B260" s="16"/>
      <c r="I260" s="16" t="s">
        <v>164</v>
      </c>
    </row>
    <row r="261" spans="1:9" x14ac:dyDescent="0.35">
      <c r="B261" s="16"/>
      <c r="I261" s="16"/>
    </row>
    <row r="262" spans="1:9" x14ac:dyDescent="0.35">
      <c r="B262" s="16"/>
      <c r="I262" s="16"/>
    </row>
    <row r="263" spans="1:9" x14ac:dyDescent="0.35">
      <c r="A263" s="7" t="s">
        <v>110</v>
      </c>
      <c r="B263" s="19"/>
      <c r="I263" s="16"/>
    </row>
    <row r="264" spans="1:9" x14ac:dyDescent="0.35">
      <c r="A264" s="20" t="s">
        <v>111</v>
      </c>
      <c r="B264" s="16"/>
      <c r="I264" s="16"/>
    </row>
    <row r="265" spans="1:9" x14ac:dyDescent="0.35">
      <c r="A265" s="20" t="s">
        <v>112</v>
      </c>
      <c r="B265" s="16"/>
      <c r="I265" s="16"/>
    </row>
    <row r="266" spans="1:9" x14ac:dyDescent="0.35">
      <c r="A266" s="20" t="s">
        <v>113</v>
      </c>
      <c r="B266" s="16"/>
      <c r="I266" s="16"/>
    </row>
    <row r="267" spans="1:9" x14ac:dyDescent="0.35">
      <c r="A267" s="7" t="s">
        <v>105</v>
      </c>
      <c r="B267" s="16"/>
      <c r="I267" s="16"/>
    </row>
    <row r="268" spans="1:9" x14ac:dyDescent="0.35">
      <c r="A268" s="7" t="s">
        <v>193</v>
      </c>
      <c r="B268" s="16"/>
      <c r="I268" s="16"/>
    </row>
    <row r="269" spans="1:9" x14ac:dyDescent="0.35">
      <c r="B269" s="16"/>
      <c r="I269" s="16"/>
    </row>
    <row r="270" spans="1:9" x14ac:dyDescent="0.35">
      <c r="A270" s="28" t="s">
        <v>114</v>
      </c>
      <c r="B270" s="17">
        <f>Изчисление!B77</f>
        <v>1</v>
      </c>
      <c r="C270" s="7" t="s">
        <v>42</v>
      </c>
      <c r="I270" s="16"/>
    </row>
    <row r="271" spans="1:9" x14ac:dyDescent="0.35">
      <c r="A271" s="28" t="s">
        <v>115</v>
      </c>
      <c r="B271" s="17">
        <f>Изчисление!B78</f>
        <v>0.2</v>
      </c>
      <c r="C271" s="7" t="s">
        <v>42</v>
      </c>
      <c r="I271" s="16"/>
    </row>
    <row r="272" spans="1:9" x14ac:dyDescent="0.35">
      <c r="A272" s="28" t="s">
        <v>116</v>
      </c>
      <c r="B272" s="17">
        <f>Изчисление!B79</f>
        <v>0</v>
      </c>
      <c r="C272" s="7" t="s">
        <v>42</v>
      </c>
      <c r="I272" s="16"/>
    </row>
    <row r="273" spans="1:9" x14ac:dyDescent="0.35">
      <c r="A273" s="28" t="s">
        <v>117</v>
      </c>
      <c r="B273" s="13">
        <f>Изчисление!B80</f>
        <v>6.87</v>
      </c>
      <c r="C273" s="7" t="s">
        <v>79</v>
      </c>
      <c r="I273" s="16"/>
    </row>
    <row r="274" spans="1:9" x14ac:dyDescent="0.35">
      <c r="A274" s="28" t="s">
        <v>118</v>
      </c>
      <c r="B274" s="44">
        <f>Изчисление!B81</f>
        <v>29.8</v>
      </c>
      <c r="C274" s="7" t="s">
        <v>79</v>
      </c>
      <c r="I274" s="16"/>
    </row>
    <row r="275" spans="1:9" x14ac:dyDescent="0.35">
      <c r="A275" s="28" t="s">
        <v>118</v>
      </c>
      <c r="B275" s="44">
        <f>Изчисление!B82</f>
        <v>107.3</v>
      </c>
      <c r="C275" s="7" t="s">
        <v>17</v>
      </c>
      <c r="I275" s="16"/>
    </row>
    <row r="276" spans="1:9" x14ac:dyDescent="0.35">
      <c r="B276" s="16"/>
      <c r="I276" s="16"/>
    </row>
    <row r="277" spans="1:9" x14ac:dyDescent="0.35">
      <c r="A277" s="7" t="s">
        <v>165</v>
      </c>
      <c r="B277" s="16"/>
      <c r="I277" s="16"/>
    </row>
    <row r="278" spans="1:9" x14ac:dyDescent="0.35">
      <c r="B278" s="16"/>
      <c r="I278" s="16"/>
    </row>
    <row r="279" spans="1:9" x14ac:dyDescent="0.35">
      <c r="A279" s="33" t="s">
        <v>211</v>
      </c>
      <c r="B279" s="21">
        <f>Изчисление!B85</f>
        <v>100.39</v>
      </c>
      <c r="C279" s="7" t="s">
        <v>4</v>
      </c>
      <c r="I279" s="16"/>
    </row>
    <row r="280" spans="1:9" x14ac:dyDescent="0.35">
      <c r="B280" s="16"/>
      <c r="I280" s="16"/>
    </row>
    <row r="281" spans="1:9" x14ac:dyDescent="0.35">
      <c r="B281" s="16"/>
      <c r="I281" s="16"/>
    </row>
    <row r="283" spans="1:9" x14ac:dyDescent="0.35">
      <c r="A283" s="117" t="str">
        <f>Изчисление!L1</f>
        <v>За лек автомобил 2</v>
      </c>
      <c r="B283" s="39"/>
      <c r="C283" s="39"/>
      <c r="D283" s="40"/>
    </row>
    <row r="285" spans="1:9" x14ac:dyDescent="0.35">
      <c r="I285" s="7" t="s">
        <v>166</v>
      </c>
    </row>
    <row r="287" spans="1:9" x14ac:dyDescent="0.35">
      <c r="A287" s="7" t="s">
        <v>156</v>
      </c>
    </row>
    <row r="288" spans="1:9" x14ac:dyDescent="0.35">
      <c r="A288" s="20" t="s">
        <v>111</v>
      </c>
    </row>
    <row r="289" spans="1:10" x14ac:dyDescent="0.35">
      <c r="A289" s="20" t="s">
        <v>112</v>
      </c>
    </row>
    <row r="290" spans="1:10" x14ac:dyDescent="0.35">
      <c r="A290" s="20" t="s">
        <v>113</v>
      </c>
    </row>
    <row r="291" spans="1:10" x14ac:dyDescent="0.35">
      <c r="A291" s="7" t="s">
        <v>128</v>
      </c>
    </row>
    <row r="292" spans="1:10" x14ac:dyDescent="0.35">
      <c r="A292" s="7" t="s">
        <v>129</v>
      </c>
    </row>
    <row r="294" spans="1:10" x14ac:dyDescent="0.35">
      <c r="A294" s="28" t="s">
        <v>114</v>
      </c>
      <c r="B294" s="17">
        <f>Изчисление!M77</f>
        <v>1</v>
      </c>
      <c r="C294" s="7" t="s">
        <v>42</v>
      </c>
    </row>
    <row r="295" spans="1:10" x14ac:dyDescent="0.35">
      <c r="A295" s="28" t="s">
        <v>115</v>
      </c>
      <c r="B295" s="17">
        <f>Изчисление!M78</f>
        <v>0.2</v>
      </c>
      <c r="C295" s="7" t="s">
        <v>42</v>
      </c>
    </row>
    <row r="296" spans="1:10" x14ac:dyDescent="0.35">
      <c r="A296" s="28" t="s">
        <v>116</v>
      </c>
      <c r="B296" s="44">
        <f>Изчисление!M79</f>
        <v>0.4</v>
      </c>
      <c r="C296" s="7" t="s">
        <v>42</v>
      </c>
    </row>
    <row r="297" spans="1:10" x14ac:dyDescent="0.35">
      <c r="A297" s="28" t="s">
        <v>117</v>
      </c>
      <c r="B297" s="13">
        <f>Изчисление!M80</f>
        <v>6.87</v>
      </c>
      <c r="C297" s="7" t="s">
        <v>79</v>
      </c>
    </row>
    <row r="298" spans="1:10" x14ac:dyDescent="0.35">
      <c r="A298" s="28" t="s">
        <v>118</v>
      </c>
      <c r="B298" s="44">
        <f>Изчисление!M81</f>
        <v>33.4</v>
      </c>
      <c r="C298" s="7" t="s">
        <v>79</v>
      </c>
    </row>
    <row r="299" spans="1:10" x14ac:dyDescent="0.35">
      <c r="A299" s="28" t="s">
        <v>118</v>
      </c>
      <c r="B299" s="44">
        <f>Изчисление!M82</f>
        <v>120.2</v>
      </c>
      <c r="C299" s="7" t="s">
        <v>17</v>
      </c>
    </row>
    <row r="300" spans="1:10" x14ac:dyDescent="0.35">
      <c r="A300" s="15"/>
      <c r="B300" s="16"/>
    </row>
    <row r="301" spans="1:10" x14ac:dyDescent="0.35">
      <c r="A301" s="7" t="s">
        <v>167</v>
      </c>
      <c r="B301" s="16"/>
    </row>
    <row r="302" spans="1:10" x14ac:dyDescent="0.35">
      <c r="I302" s="8"/>
      <c r="J302" s="8"/>
    </row>
    <row r="303" spans="1:10" x14ac:dyDescent="0.35">
      <c r="A303" s="33" t="s">
        <v>212</v>
      </c>
      <c r="B303" s="34">
        <f>Изчисление!M85</f>
        <v>127.95</v>
      </c>
      <c r="C303" s="7" t="s">
        <v>4</v>
      </c>
    </row>
    <row r="307" spans="1:9" x14ac:dyDescent="0.35">
      <c r="A307" s="116" t="s">
        <v>84</v>
      </c>
    </row>
    <row r="310" spans="1:9" x14ac:dyDescent="0.35">
      <c r="A310" s="117" t="str">
        <f>Изчисление!A1</f>
        <v>За лек автомобил 1</v>
      </c>
      <c r="B310" s="39"/>
      <c r="C310" s="39"/>
      <c r="D310" s="40"/>
    </row>
    <row r="312" spans="1:9" x14ac:dyDescent="0.35">
      <c r="I312" s="7" t="s">
        <v>168</v>
      </c>
    </row>
    <row r="315" spans="1:9" x14ac:dyDescent="0.35">
      <c r="A315" s="7" t="s">
        <v>171</v>
      </c>
    </row>
    <row r="316" spans="1:9" x14ac:dyDescent="0.35">
      <c r="A316" s="20" t="s">
        <v>111</v>
      </c>
    </row>
    <row r="317" spans="1:9" x14ac:dyDescent="0.35">
      <c r="A317" s="20" t="s">
        <v>112</v>
      </c>
    </row>
    <row r="318" spans="1:9" x14ac:dyDescent="0.35">
      <c r="A318" s="20" t="s">
        <v>113</v>
      </c>
    </row>
    <row r="319" spans="1:9" x14ac:dyDescent="0.35">
      <c r="A319" s="7" t="s">
        <v>311</v>
      </c>
    </row>
    <row r="320" spans="1:9" x14ac:dyDescent="0.35">
      <c r="A320" s="7" t="s">
        <v>315</v>
      </c>
    </row>
    <row r="321" spans="1:3" x14ac:dyDescent="0.35">
      <c r="A321" s="7" t="s">
        <v>172</v>
      </c>
    </row>
    <row r="324" spans="1:3" x14ac:dyDescent="0.35">
      <c r="A324" s="28" t="s">
        <v>114</v>
      </c>
      <c r="B324" s="17">
        <f>Изчисление!B77</f>
        <v>1</v>
      </c>
      <c r="C324" s="7" t="s">
        <v>42</v>
      </c>
    </row>
    <row r="325" spans="1:3" x14ac:dyDescent="0.35">
      <c r="A325" s="28" t="s">
        <v>115</v>
      </c>
      <c r="B325" s="17">
        <f>Изчисление!B78</f>
        <v>0.2</v>
      </c>
      <c r="C325" s="7" t="s">
        <v>42</v>
      </c>
    </row>
    <row r="326" spans="1:3" x14ac:dyDescent="0.35">
      <c r="A326" s="28" t="s">
        <v>116</v>
      </c>
      <c r="B326" s="17">
        <f>Изчисление!B79</f>
        <v>0</v>
      </c>
      <c r="C326" s="7" t="s">
        <v>42</v>
      </c>
    </row>
    <row r="327" spans="1:3" x14ac:dyDescent="0.35">
      <c r="A327" s="28" t="s">
        <v>117</v>
      </c>
      <c r="B327" s="13">
        <f>Изчисление!B80</f>
        <v>6.87</v>
      </c>
      <c r="C327" s="7" t="s">
        <v>79</v>
      </c>
    </row>
    <row r="328" spans="1:3" x14ac:dyDescent="0.35">
      <c r="A328" s="28" t="s">
        <v>173</v>
      </c>
      <c r="B328" s="44">
        <f>Изчисление!B66</f>
        <v>29.8</v>
      </c>
      <c r="C328" s="7" t="s">
        <v>14</v>
      </c>
    </row>
    <row r="329" spans="1:3" x14ac:dyDescent="0.35">
      <c r="A329" s="28" t="s">
        <v>174</v>
      </c>
      <c r="B329" s="44">
        <f>Изчисление!B22</f>
        <v>29.8</v>
      </c>
      <c r="C329" s="7" t="s">
        <v>14</v>
      </c>
    </row>
    <row r="331" spans="1:3" x14ac:dyDescent="0.35">
      <c r="A331" s="7" t="s">
        <v>169</v>
      </c>
    </row>
    <row r="333" spans="1:3" x14ac:dyDescent="0.35">
      <c r="A333" s="2" t="s">
        <v>209</v>
      </c>
      <c r="B333" s="3">
        <f>Изчисление!B94</f>
        <v>1.2</v>
      </c>
      <c r="C333" s="7" t="s">
        <v>170</v>
      </c>
    </row>
    <row r="337" spans="1:13" x14ac:dyDescent="0.35">
      <c r="A337" s="117" t="str">
        <f>Изчисление!L1</f>
        <v>За лек автомобил 2</v>
      </c>
      <c r="B337" s="39"/>
      <c r="C337" s="39"/>
      <c r="D337" s="40"/>
    </row>
    <row r="339" spans="1:13" x14ac:dyDescent="0.35">
      <c r="I339" s="7" t="s">
        <v>178</v>
      </c>
    </row>
    <row r="341" spans="1:13" x14ac:dyDescent="0.35">
      <c r="K341" s="12"/>
      <c r="L341" s="12"/>
      <c r="M341" s="12"/>
    </row>
    <row r="343" spans="1:13" x14ac:dyDescent="0.35">
      <c r="A343" s="7" t="s">
        <v>179</v>
      </c>
    </row>
    <row r="344" spans="1:13" x14ac:dyDescent="0.35">
      <c r="A344" s="20" t="s">
        <v>111</v>
      </c>
    </row>
    <row r="345" spans="1:13" x14ac:dyDescent="0.35">
      <c r="A345" s="20" t="s">
        <v>112</v>
      </c>
    </row>
    <row r="346" spans="1:13" x14ac:dyDescent="0.35">
      <c r="A346" s="20" t="s">
        <v>113</v>
      </c>
    </row>
    <row r="347" spans="1:13" x14ac:dyDescent="0.35">
      <c r="A347" s="7" t="s">
        <v>309</v>
      </c>
      <c r="K347" s="8"/>
      <c r="M347" s="8"/>
    </row>
    <row r="348" spans="1:13" x14ac:dyDescent="0.35">
      <c r="A348" s="7" t="s">
        <v>310</v>
      </c>
    </row>
    <row r="349" spans="1:13" x14ac:dyDescent="0.35">
      <c r="A349" s="7" t="s">
        <v>180</v>
      </c>
    </row>
    <row r="352" spans="1:13" x14ac:dyDescent="0.35">
      <c r="A352" s="28" t="s">
        <v>114</v>
      </c>
      <c r="B352" s="17">
        <f>Изчисление!M77</f>
        <v>1</v>
      </c>
      <c r="C352" s="7" t="s">
        <v>42</v>
      </c>
    </row>
    <row r="353" spans="1:4" x14ac:dyDescent="0.35">
      <c r="A353" s="28" t="s">
        <v>115</v>
      </c>
      <c r="B353" s="17">
        <f>Изчисление!M78</f>
        <v>0.2</v>
      </c>
      <c r="C353" s="7" t="s">
        <v>42</v>
      </c>
    </row>
    <row r="354" spans="1:4" x14ac:dyDescent="0.35">
      <c r="A354" s="28" t="s">
        <v>116</v>
      </c>
      <c r="B354" s="17">
        <f>Изчисление!M79</f>
        <v>0.4</v>
      </c>
      <c r="C354" s="7" t="s">
        <v>42</v>
      </c>
    </row>
    <row r="355" spans="1:4" x14ac:dyDescent="0.35">
      <c r="A355" s="28" t="s">
        <v>117</v>
      </c>
      <c r="B355" s="13">
        <f>Изчисление!M80</f>
        <v>6.87</v>
      </c>
      <c r="C355" s="7" t="s">
        <v>79</v>
      </c>
    </row>
    <row r="356" spans="1:4" x14ac:dyDescent="0.35">
      <c r="A356" s="28" t="s">
        <v>173</v>
      </c>
      <c r="B356" s="44">
        <f>Изчисление!M66</f>
        <v>33.4</v>
      </c>
      <c r="C356" s="7" t="s">
        <v>14</v>
      </c>
    </row>
    <row r="357" spans="1:4" x14ac:dyDescent="0.35">
      <c r="A357" s="28" t="s">
        <v>174</v>
      </c>
      <c r="B357" s="44">
        <f>Изчисление!M66</f>
        <v>33.4</v>
      </c>
      <c r="C357" s="7" t="s">
        <v>14</v>
      </c>
    </row>
    <row r="359" spans="1:4" x14ac:dyDescent="0.35">
      <c r="A359" s="7" t="s">
        <v>181</v>
      </c>
    </row>
    <row r="361" spans="1:4" x14ac:dyDescent="0.35">
      <c r="A361" s="2" t="s">
        <v>210</v>
      </c>
      <c r="B361" s="3">
        <f>Изчисление!M94</f>
        <v>1.4</v>
      </c>
      <c r="C361" s="7" t="s">
        <v>170</v>
      </c>
    </row>
    <row r="365" spans="1:4" x14ac:dyDescent="0.35">
      <c r="A365" s="116" t="s">
        <v>182</v>
      </c>
    </row>
    <row r="367" spans="1:4" x14ac:dyDescent="0.35">
      <c r="A367" s="117" t="str">
        <f>Изчисление!A1</f>
        <v>За лек автомобил 1</v>
      </c>
      <c r="B367" s="39"/>
      <c r="C367" s="39"/>
      <c r="D367" s="40"/>
    </row>
    <row r="369" spans="1:9" x14ac:dyDescent="0.35">
      <c r="I369" s="7" t="s">
        <v>183</v>
      </c>
    </row>
    <row r="372" spans="1:9" x14ac:dyDescent="0.35">
      <c r="A372" s="7" t="s">
        <v>186</v>
      </c>
    </row>
    <row r="373" spans="1:9" x14ac:dyDescent="0.35">
      <c r="A373" s="20" t="s">
        <v>111</v>
      </c>
    </row>
    <row r="374" spans="1:9" x14ac:dyDescent="0.35">
      <c r="A374" s="20" t="s">
        <v>112</v>
      </c>
    </row>
    <row r="375" spans="1:9" x14ac:dyDescent="0.35">
      <c r="A375" s="20" t="s">
        <v>113</v>
      </c>
    </row>
    <row r="376" spans="1:9" x14ac:dyDescent="0.35">
      <c r="A376" s="7" t="s">
        <v>311</v>
      </c>
    </row>
    <row r="377" spans="1:9" x14ac:dyDescent="0.35">
      <c r="A377" s="7" t="s">
        <v>312</v>
      </c>
    </row>
    <row r="379" spans="1:9" x14ac:dyDescent="0.35">
      <c r="A379" s="27" t="s">
        <v>114</v>
      </c>
      <c r="B379" s="17">
        <f>Изчисление!$B$77</f>
        <v>1</v>
      </c>
      <c r="C379" s="7" t="s">
        <v>42</v>
      </c>
    </row>
    <row r="380" spans="1:9" x14ac:dyDescent="0.35">
      <c r="A380" s="27" t="s">
        <v>115</v>
      </c>
      <c r="B380" s="17">
        <f>Изчисление!$B$78</f>
        <v>0.2</v>
      </c>
      <c r="C380" s="7" t="s">
        <v>42</v>
      </c>
    </row>
    <row r="381" spans="1:9" x14ac:dyDescent="0.35">
      <c r="A381" s="27" t="s">
        <v>116</v>
      </c>
      <c r="B381" s="17">
        <f>Изчисление!$B$79</f>
        <v>0</v>
      </c>
      <c r="C381" s="7" t="s">
        <v>42</v>
      </c>
    </row>
    <row r="382" spans="1:9" x14ac:dyDescent="0.35">
      <c r="A382" s="27" t="s">
        <v>173</v>
      </c>
      <c r="B382" s="44">
        <f>Изчисление!$B$81</f>
        <v>29.8</v>
      </c>
      <c r="C382" s="7" t="s">
        <v>14</v>
      </c>
    </row>
    <row r="383" spans="1:9" x14ac:dyDescent="0.35">
      <c r="A383" s="27" t="s">
        <v>190</v>
      </c>
      <c r="B383" s="13">
        <f>Изчисление!$B$61</f>
        <v>0</v>
      </c>
      <c r="C383" s="7" t="s">
        <v>14</v>
      </c>
    </row>
    <row r="386" spans="1:12" x14ac:dyDescent="0.35">
      <c r="A386" s="7" t="s">
        <v>184</v>
      </c>
      <c r="L386" s="25"/>
    </row>
    <row r="388" spans="1:12" x14ac:dyDescent="0.35">
      <c r="A388" s="37" t="s">
        <v>187</v>
      </c>
      <c r="B388" s="24">
        <f>Изчисление!B105</f>
        <v>35.76</v>
      </c>
      <c r="C388" s="7" t="s">
        <v>4</v>
      </c>
    </row>
    <row r="392" spans="1:12" x14ac:dyDescent="0.35">
      <c r="A392" s="117" t="str">
        <f>Изчисление!L1</f>
        <v>За лек автомобил 2</v>
      </c>
      <c r="B392" s="38"/>
      <c r="C392" s="38"/>
      <c r="D392" s="38"/>
    </row>
    <row r="395" spans="1:12" x14ac:dyDescent="0.35">
      <c r="I395" s="7" t="s">
        <v>183</v>
      </c>
    </row>
    <row r="398" spans="1:12" x14ac:dyDescent="0.35">
      <c r="A398" s="7" t="s">
        <v>188</v>
      </c>
    </row>
    <row r="399" spans="1:12" x14ac:dyDescent="0.35">
      <c r="A399" s="20" t="s">
        <v>111</v>
      </c>
    </row>
    <row r="400" spans="1:12" x14ac:dyDescent="0.35">
      <c r="A400" s="20" t="s">
        <v>112</v>
      </c>
    </row>
    <row r="401" spans="1:3" x14ac:dyDescent="0.35">
      <c r="A401" s="20" t="s">
        <v>113</v>
      </c>
    </row>
    <row r="402" spans="1:3" x14ac:dyDescent="0.35">
      <c r="A402" s="7" t="s">
        <v>309</v>
      </c>
    </row>
    <row r="403" spans="1:3" x14ac:dyDescent="0.35">
      <c r="A403" s="7" t="s">
        <v>313</v>
      </c>
    </row>
    <row r="405" spans="1:3" x14ac:dyDescent="0.35">
      <c r="A405" s="27" t="s">
        <v>114</v>
      </c>
      <c r="B405" s="17">
        <f>Изчисление!M77</f>
        <v>1</v>
      </c>
      <c r="C405" s="7" t="s">
        <v>42</v>
      </c>
    </row>
    <row r="406" spans="1:3" x14ac:dyDescent="0.35">
      <c r="A406" s="27" t="s">
        <v>115</v>
      </c>
      <c r="B406" s="17">
        <f>Изчисление!M78</f>
        <v>0.2</v>
      </c>
      <c r="C406" s="7" t="s">
        <v>42</v>
      </c>
    </row>
    <row r="407" spans="1:3" x14ac:dyDescent="0.35">
      <c r="A407" s="27" t="s">
        <v>116</v>
      </c>
      <c r="B407" s="17">
        <f>Изчисление!M79</f>
        <v>0.4</v>
      </c>
      <c r="C407" s="7" t="s">
        <v>42</v>
      </c>
    </row>
    <row r="408" spans="1:3" x14ac:dyDescent="0.35">
      <c r="A408" s="27" t="s">
        <v>191</v>
      </c>
      <c r="B408" s="44">
        <f>Изчисление!M81</f>
        <v>33.4</v>
      </c>
      <c r="C408" s="7" t="s">
        <v>14</v>
      </c>
    </row>
    <row r="409" spans="1:3" x14ac:dyDescent="0.35">
      <c r="A409" s="27" t="s">
        <v>189</v>
      </c>
      <c r="B409" s="13">
        <f>Изчисление!M61</f>
        <v>0</v>
      </c>
      <c r="C409" s="7" t="s">
        <v>14</v>
      </c>
    </row>
    <row r="412" spans="1:3" x14ac:dyDescent="0.35">
      <c r="A412" s="7" t="s">
        <v>184</v>
      </c>
    </row>
    <row r="414" spans="1:3" x14ac:dyDescent="0.35">
      <c r="A414" s="37" t="s">
        <v>185</v>
      </c>
      <c r="B414" s="24">
        <f>Изчисление!M105</f>
        <v>46.76</v>
      </c>
      <c r="C414" s="7" t="s">
        <v>4</v>
      </c>
    </row>
    <row r="418" spans="1:10" x14ac:dyDescent="0.35">
      <c r="A418" s="116" t="s">
        <v>192</v>
      </c>
    </row>
    <row r="421" spans="1:10" x14ac:dyDescent="0.35">
      <c r="A421" s="117" t="str">
        <f>Изчисление!A1</f>
        <v>За лек автомобил 1</v>
      </c>
      <c r="B421" s="39"/>
      <c r="C421" s="39"/>
      <c r="D421" s="40"/>
    </row>
    <row r="423" spans="1:10" x14ac:dyDescent="0.35">
      <c r="J423" s="7" t="s">
        <v>195</v>
      </c>
    </row>
    <row r="425" spans="1:10" x14ac:dyDescent="0.35">
      <c r="A425" s="7" t="s">
        <v>194</v>
      </c>
    </row>
    <row r="426" spans="1:10" x14ac:dyDescent="0.35">
      <c r="A426" s="20" t="s">
        <v>111</v>
      </c>
    </row>
    <row r="427" spans="1:10" x14ac:dyDescent="0.35">
      <c r="A427" s="20" t="s">
        <v>112</v>
      </c>
    </row>
    <row r="428" spans="1:10" x14ac:dyDescent="0.35">
      <c r="A428" s="20" t="s">
        <v>113</v>
      </c>
    </row>
    <row r="429" spans="1:10" x14ac:dyDescent="0.35">
      <c r="A429" s="7" t="s">
        <v>186</v>
      </c>
    </row>
    <row r="430" spans="1:10" x14ac:dyDescent="0.35">
      <c r="A430" s="7" t="s">
        <v>312</v>
      </c>
    </row>
    <row r="431" spans="1:10" x14ac:dyDescent="0.35">
      <c r="A431" s="7" t="s">
        <v>107</v>
      </c>
    </row>
    <row r="433" spans="1:4" x14ac:dyDescent="0.35">
      <c r="A433" s="27" t="s">
        <v>114</v>
      </c>
      <c r="B433" s="17">
        <f>Изчисление!$B$77</f>
        <v>1</v>
      </c>
      <c r="C433" s="7" t="s">
        <v>42</v>
      </c>
    </row>
    <row r="434" spans="1:4" x14ac:dyDescent="0.35">
      <c r="A434" s="27" t="s">
        <v>115</v>
      </c>
      <c r="B434" s="17">
        <f>Изчисление!$B$78</f>
        <v>0.2</v>
      </c>
      <c r="C434" s="7" t="s">
        <v>42</v>
      </c>
    </row>
    <row r="435" spans="1:4" x14ac:dyDescent="0.35">
      <c r="A435" s="27" t="s">
        <v>116</v>
      </c>
      <c r="B435" s="17">
        <f>Изчисление!$B$79</f>
        <v>0</v>
      </c>
      <c r="C435" s="7" t="s">
        <v>42</v>
      </c>
    </row>
    <row r="436" spans="1:4" x14ac:dyDescent="0.35">
      <c r="A436" s="27" t="s">
        <v>117</v>
      </c>
      <c r="B436" s="13">
        <f>Изчисление!$B$80</f>
        <v>6.87</v>
      </c>
      <c r="C436" s="7" t="s">
        <v>79</v>
      </c>
    </row>
    <row r="437" spans="1:4" x14ac:dyDescent="0.35">
      <c r="A437" s="27" t="s">
        <v>185</v>
      </c>
      <c r="B437" s="24">
        <f>Изчисление!$B$105</f>
        <v>35.76</v>
      </c>
      <c r="C437" s="7" t="s">
        <v>4</v>
      </c>
    </row>
    <row r="439" spans="1:4" x14ac:dyDescent="0.35">
      <c r="A439" s="7" t="s">
        <v>196</v>
      </c>
    </row>
    <row r="441" spans="1:4" x14ac:dyDescent="0.35">
      <c r="A441" s="36" t="s">
        <v>197</v>
      </c>
      <c r="B441" s="131">
        <f>Изчисление!$B$123</f>
        <v>15.1</v>
      </c>
      <c r="C441" s="7" t="s">
        <v>14</v>
      </c>
    </row>
    <row r="442" spans="1:4" x14ac:dyDescent="0.35">
      <c r="B442" s="131">
        <f>Изчисление!$B$124</f>
        <v>54.4</v>
      </c>
      <c r="C442" s="7" t="s">
        <v>17</v>
      </c>
    </row>
    <row r="443" spans="1:4" x14ac:dyDescent="0.35">
      <c r="B443" s="16"/>
    </row>
    <row r="444" spans="1:4" x14ac:dyDescent="0.35">
      <c r="B444" s="16"/>
    </row>
    <row r="445" spans="1:4" x14ac:dyDescent="0.35">
      <c r="B445" s="16"/>
    </row>
    <row r="446" spans="1:4" x14ac:dyDescent="0.35">
      <c r="A446" s="117" t="str">
        <f>Изчисление!L1</f>
        <v>За лек автомобил 2</v>
      </c>
      <c r="B446" s="39"/>
      <c r="C446" s="39"/>
      <c r="D446" s="40"/>
    </row>
    <row r="449" spans="1:10" x14ac:dyDescent="0.35">
      <c r="J449" s="7" t="s">
        <v>200</v>
      </c>
    </row>
    <row r="451" spans="1:10" x14ac:dyDescent="0.35">
      <c r="A451" s="7" t="s">
        <v>198</v>
      </c>
    </row>
    <row r="452" spans="1:10" x14ac:dyDescent="0.35">
      <c r="A452" s="20" t="s">
        <v>111</v>
      </c>
    </row>
    <row r="453" spans="1:10" x14ac:dyDescent="0.35">
      <c r="A453" s="20" t="s">
        <v>112</v>
      </c>
    </row>
    <row r="454" spans="1:10" x14ac:dyDescent="0.35">
      <c r="A454" s="20" t="s">
        <v>113</v>
      </c>
    </row>
    <row r="455" spans="1:10" x14ac:dyDescent="0.35">
      <c r="A455" s="7" t="s">
        <v>188</v>
      </c>
    </row>
    <row r="456" spans="1:10" x14ac:dyDescent="0.35">
      <c r="A456" s="7" t="s">
        <v>313</v>
      </c>
    </row>
    <row r="457" spans="1:10" x14ac:dyDescent="0.35">
      <c r="A457" s="7" t="s">
        <v>199</v>
      </c>
    </row>
    <row r="459" spans="1:10" x14ac:dyDescent="0.35">
      <c r="A459" s="27" t="s">
        <v>114</v>
      </c>
      <c r="B459" s="17">
        <f>Изчисление!$M$77</f>
        <v>1</v>
      </c>
      <c r="C459" s="7" t="s">
        <v>42</v>
      </c>
    </row>
    <row r="460" spans="1:10" x14ac:dyDescent="0.35">
      <c r="A460" s="27" t="s">
        <v>115</v>
      </c>
      <c r="B460" s="17">
        <f>Изчисление!$M$78</f>
        <v>0.2</v>
      </c>
      <c r="C460" s="7" t="s">
        <v>42</v>
      </c>
    </row>
    <row r="461" spans="1:10" x14ac:dyDescent="0.35">
      <c r="A461" s="27" t="s">
        <v>116</v>
      </c>
      <c r="B461" s="17">
        <f>Изчисление!$M$79</f>
        <v>0.4</v>
      </c>
      <c r="C461" s="7" t="s">
        <v>42</v>
      </c>
    </row>
    <row r="462" spans="1:10" x14ac:dyDescent="0.35">
      <c r="A462" s="27" t="s">
        <v>117</v>
      </c>
      <c r="B462" s="13">
        <f>Изчисление!$M$80</f>
        <v>6.87</v>
      </c>
      <c r="C462" s="7" t="s">
        <v>79</v>
      </c>
    </row>
    <row r="463" spans="1:10" x14ac:dyDescent="0.35">
      <c r="A463" s="27" t="s">
        <v>202</v>
      </c>
      <c r="B463" s="24">
        <f>Изчисление!$M$105</f>
        <v>46.76</v>
      </c>
      <c r="C463" s="7" t="s">
        <v>4</v>
      </c>
    </row>
    <row r="466" spans="1:3" x14ac:dyDescent="0.35">
      <c r="A466" s="7" t="s">
        <v>196</v>
      </c>
    </row>
    <row r="468" spans="1:3" x14ac:dyDescent="0.35">
      <c r="A468" s="36" t="s">
        <v>201</v>
      </c>
      <c r="B468" s="131">
        <f>Изчисление!$M$123</f>
        <v>17.2</v>
      </c>
      <c r="C468" s="7" t="s">
        <v>14</v>
      </c>
    </row>
    <row r="469" spans="1:3" x14ac:dyDescent="0.35">
      <c r="B469" s="131">
        <f>Изчисление!$M$124</f>
        <v>62.1</v>
      </c>
      <c r="C469" s="7" t="s">
        <v>17</v>
      </c>
    </row>
  </sheetData>
  <mergeCells count="82">
    <mergeCell ref="E123:G123"/>
    <mergeCell ref="B126:D126"/>
    <mergeCell ref="E126:G126"/>
    <mergeCell ref="B127:D127"/>
    <mergeCell ref="E127:G127"/>
    <mergeCell ref="B125:D125"/>
    <mergeCell ref="E125:G125"/>
    <mergeCell ref="B118:D118"/>
    <mergeCell ref="B117:D117"/>
    <mergeCell ref="B119:D119"/>
    <mergeCell ref="E117:G117"/>
    <mergeCell ref="E118:G118"/>
    <mergeCell ref="E119:G119"/>
    <mergeCell ref="B121:D121"/>
    <mergeCell ref="E121:G121"/>
    <mergeCell ref="B122:D122"/>
    <mergeCell ref="B123:D123"/>
    <mergeCell ref="B146:D146"/>
    <mergeCell ref="E146:G146"/>
    <mergeCell ref="E131:G131"/>
    <mergeCell ref="E132:G132"/>
    <mergeCell ref="E133:G133"/>
    <mergeCell ref="E135:G135"/>
    <mergeCell ref="E136:G136"/>
    <mergeCell ref="E137:G137"/>
    <mergeCell ref="E139:G139"/>
    <mergeCell ref="E140:G140"/>
    <mergeCell ref="E141:G141"/>
    <mergeCell ref="E122:G122"/>
    <mergeCell ref="B147:D147"/>
    <mergeCell ref="E147:G147"/>
    <mergeCell ref="B148:D148"/>
    <mergeCell ref="E148:G148"/>
    <mergeCell ref="B150:D150"/>
    <mergeCell ref="E150:G150"/>
    <mergeCell ref="B151:D151"/>
    <mergeCell ref="E151:G151"/>
    <mergeCell ref="B152:D152"/>
    <mergeCell ref="E152:G152"/>
    <mergeCell ref="B154:D154"/>
    <mergeCell ref="E154:G154"/>
    <mergeCell ref="B175:D175"/>
    <mergeCell ref="E161:G161"/>
    <mergeCell ref="E162:G162"/>
    <mergeCell ref="E163:G163"/>
    <mergeCell ref="E165:G165"/>
    <mergeCell ref="E166:G166"/>
    <mergeCell ref="E167:G167"/>
    <mergeCell ref="E169:G169"/>
    <mergeCell ref="E170:G170"/>
    <mergeCell ref="E171:G171"/>
    <mergeCell ref="B171:D171"/>
    <mergeCell ref="B166:D166"/>
    <mergeCell ref="B167:D167"/>
    <mergeCell ref="B169:D169"/>
    <mergeCell ref="B170:D170"/>
    <mergeCell ref="B155:D155"/>
    <mergeCell ref="E155:G155"/>
    <mergeCell ref="B156:D156"/>
    <mergeCell ref="E156:G156"/>
    <mergeCell ref="B165:D16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31:D131"/>
    <mergeCell ref="B132:D132"/>
    <mergeCell ref="B133:D133"/>
    <mergeCell ref="B135:D135"/>
    <mergeCell ref="B136:D136"/>
    <mergeCell ref="B137:D137"/>
    <mergeCell ref="B139:D139"/>
    <mergeCell ref="B140:D140"/>
    <mergeCell ref="B141:D141"/>
    <mergeCell ref="B161:D161"/>
    <mergeCell ref="B162:D162"/>
    <mergeCell ref="B163:D163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050" r:id="rId4">
          <objectPr defaultSize="0" r:id="rId5">
            <anchor moveWithCells="1">
              <from>
                <xdr:col>0</xdr:col>
                <xdr:colOff>68580</xdr:colOff>
                <xdr:row>258</xdr:row>
                <xdr:rowOff>144780</xdr:rowOff>
              </from>
              <to>
                <xdr:col>4</xdr:col>
                <xdr:colOff>304800</xdr:colOff>
                <xdr:row>260</xdr:row>
                <xdr:rowOff>182880</xdr:rowOff>
              </to>
            </anchor>
          </objectPr>
        </oleObject>
      </mc:Choice>
      <mc:Fallback>
        <oleObject progId="Equation.3" shapeId="2050" r:id="rId4"/>
      </mc:Fallback>
    </mc:AlternateContent>
    <mc:AlternateContent xmlns:mc="http://schemas.openxmlformats.org/markup-compatibility/2006">
      <mc:Choice Requires="x14">
        <oleObject progId="Equation.3" shapeId="2071" r:id="rId6">
          <objectPr defaultSize="0" autoPict="0" r:id="rId5">
            <anchor moveWithCells="1">
              <from>
                <xdr:col>0</xdr:col>
                <xdr:colOff>76200</xdr:colOff>
                <xdr:row>283</xdr:row>
                <xdr:rowOff>38100</xdr:rowOff>
              </from>
              <to>
                <xdr:col>4</xdr:col>
                <xdr:colOff>335280</xdr:colOff>
                <xdr:row>285</xdr:row>
                <xdr:rowOff>83820</xdr:rowOff>
              </to>
            </anchor>
          </objectPr>
        </oleObject>
      </mc:Choice>
      <mc:Fallback>
        <oleObject progId="Equation.3" shapeId="2071" r:id="rId6"/>
      </mc:Fallback>
    </mc:AlternateContent>
    <mc:AlternateContent xmlns:mc="http://schemas.openxmlformats.org/markup-compatibility/2006">
      <mc:Choice Requires="x14">
        <oleObject progId="Equation.3" shapeId="2072" r:id="rId7">
          <objectPr defaultSize="0" autoPict="0" r:id="rId8">
            <anchor moveWithCells="1">
              <from>
                <xdr:col>0</xdr:col>
                <xdr:colOff>68580</xdr:colOff>
                <xdr:row>310</xdr:row>
                <xdr:rowOff>175260</xdr:rowOff>
              </from>
              <to>
                <xdr:col>5</xdr:col>
                <xdr:colOff>160020</xdr:colOff>
                <xdr:row>313</xdr:row>
                <xdr:rowOff>22860</xdr:rowOff>
              </to>
            </anchor>
          </objectPr>
        </oleObject>
      </mc:Choice>
      <mc:Fallback>
        <oleObject progId="Equation.3" shapeId="2072" r:id="rId7"/>
      </mc:Fallback>
    </mc:AlternateContent>
    <mc:AlternateContent xmlns:mc="http://schemas.openxmlformats.org/markup-compatibility/2006">
      <mc:Choice Requires="x14">
        <oleObject progId="Equation.3" shapeId="2074" r:id="rId9">
          <objectPr defaultSize="0" autoPict="0" r:id="rId10">
            <anchor moveWithCells="1">
              <from>
                <xdr:col>0</xdr:col>
                <xdr:colOff>99060</xdr:colOff>
                <xdr:row>338</xdr:row>
                <xdr:rowOff>0</xdr:rowOff>
              </from>
              <to>
                <xdr:col>4</xdr:col>
                <xdr:colOff>274320</xdr:colOff>
                <xdr:row>340</xdr:row>
                <xdr:rowOff>30480</xdr:rowOff>
              </to>
            </anchor>
          </objectPr>
        </oleObject>
      </mc:Choice>
      <mc:Fallback>
        <oleObject progId="Equation.3" shapeId="2074" r:id="rId9"/>
      </mc:Fallback>
    </mc:AlternateContent>
    <mc:AlternateContent xmlns:mc="http://schemas.openxmlformats.org/markup-compatibility/2006">
      <mc:Choice Requires="x14">
        <oleObject progId="Equation.3" shapeId="2075" r:id="rId11">
          <objectPr defaultSize="0" autoPict="0" r:id="rId12">
            <anchor moveWithCells="1">
              <from>
                <xdr:col>0</xdr:col>
                <xdr:colOff>76200</xdr:colOff>
                <xdr:row>368</xdr:row>
                <xdr:rowOff>45720</xdr:rowOff>
              </from>
              <to>
                <xdr:col>4</xdr:col>
                <xdr:colOff>99060</xdr:colOff>
                <xdr:row>369</xdr:row>
                <xdr:rowOff>83820</xdr:rowOff>
              </to>
            </anchor>
          </objectPr>
        </oleObject>
      </mc:Choice>
      <mc:Fallback>
        <oleObject progId="Equation.3" shapeId="2075" r:id="rId11"/>
      </mc:Fallback>
    </mc:AlternateContent>
    <mc:AlternateContent xmlns:mc="http://schemas.openxmlformats.org/markup-compatibility/2006">
      <mc:Choice Requires="x14">
        <oleObject progId="Equation.3" shapeId="2076" r:id="rId13">
          <objectPr defaultSize="0" autoPict="0" r:id="rId14">
            <anchor moveWithCells="1">
              <from>
                <xdr:col>0</xdr:col>
                <xdr:colOff>114300</xdr:colOff>
                <xdr:row>394</xdr:row>
                <xdr:rowOff>22860</xdr:rowOff>
              </from>
              <to>
                <xdr:col>4</xdr:col>
                <xdr:colOff>137160</xdr:colOff>
                <xdr:row>395</xdr:row>
                <xdr:rowOff>60960</xdr:rowOff>
              </to>
            </anchor>
          </objectPr>
        </oleObject>
      </mc:Choice>
      <mc:Fallback>
        <oleObject progId="Equation.3" shapeId="2076" r:id="rId13"/>
      </mc:Fallback>
    </mc:AlternateContent>
    <mc:AlternateContent xmlns:mc="http://schemas.openxmlformats.org/markup-compatibility/2006">
      <mc:Choice Requires="x14">
        <oleObject progId="Equation.3" shapeId="2077" r:id="rId15">
          <objectPr defaultSize="0" autoPict="0" r:id="rId16">
            <anchor moveWithCells="1">
              <from>
                <xdr:col>0</xdr:col>
                <xdr:colOff>45720</xdr:colOff>
                <xdr:row>421</xdr:row>
                <xdr:rowOff>99060</xdr:rowOff>
              </from>
              <to>
                <xdr:col>8</xdr:col>
                <xdr:colOff>342900</xdr:colOff>
                <xdr:row>423</xdr:row>
                <xdr:rowOff>0</xdr:rowOff>
              </to>
            </anchor>
          </objectPr>
        </oleObject>
      </mc:Choice>
      <mc:Fallback>
        <oleObject progId="Equation.3" shapeId="2077" r:id="rId15"/>
      </mc:Fallback>
    </mc:AlternateContent>
    <mc:AlternateContent xmlns:mc="http://schemas.openxmlformats.org/markup-compatibility/2006">
      <mc:Choice Requires="x14">
        <oleObject progId="Equation.3" shapeId="2078" r:id="rId17">
          <objectPr defaultSize="0" autoPict="0" r:id="rId18">
            <anchor moveWithCells="1">
              <from>
                <xdr:col>0</xdr:col>
                <xdr:colOff>22860</xdr:colOff>
                <xdr:row>447</xdr:row>
                <xdr:rowOff>137160</xdr:rowOff>
              </from>
              <to>
                <xdr:col>9</xdr:col>
                <xdr:colOff>22860</xdr:colOff>
                <xdr:row>449</xdr:row>
                <xdr:rowOff>60960</xdr:rowOff>
              </to>
            </anchor>
          </objectPr>
        </oleObject>
      </mc:Choice>
      <mc:Fallback>
        <oleObject progId="Equation.3" shapeId="2078" r:id="rId17"/>
      </mc:Fallback>
    </mc:AlternateContent>
    <mc:AlternateContent xmlns:mc="http://schemas.openxmlformats.org/markup-compatibility/2006">
      <mc:Choice Requires="x14">
        <oleObject progId="Equation.3" shapeId="2058" r:id="rId19">
          <objectPr defaultSize="0" autoPict="0" r:id="rId20">
            <anchor moveWithCells="1">
              <from>
                <xdr:col>0</xdr:col>
                <xdr:colOff>190500</xdr:colOff>
                <xdr:row>229</xdr:row>
                <xdr:rowOff>22860</xdr:rowOff>
              </from>
              <to>
                <xdr:col>5</xdr:col>
                <xdr:colOff>251460</xdr:colOff>
                <xdr:row>230</xdr:row>
                <xdr:rowOff>137160</xdr:rowOff>
              </to>
            </anchor>
          </objectPr>
        </oleObject>
      </mc:Choice>
      <mc:Fallback>
        <oleObject progId="Equation.3" shapeId="2058" r:id="rId19"/>
      </mc:Fallback>
    </mc:AlternateContent>
    <mc:AlternateContent xmlns:mc="http://schemas.openxmlformats.org/markup-compatibility/2006">
      <mc:Choice Requires="x14">
        <oleObject progId="Equation.3" shapeId="2051" r:id="rId21">
          <objectPr defaultSize="0" autoPict="0" r:id="rId22">
            <anchor moveWithCells="1">
              <from>
                <xdr:col>0</xdr:col>
                <xdr:colOff>83820</xdr:colOff>
                <xdr:row>3</xdr:row>
                <xdr:rowOff>137160</xdr:rowOff>
              </from>
              <to>
                <xdr:col>6</xdr:col>
                <xdr:colOff>114300</xdr:colOff>
                <xdr:row>5</xdr:row>
                <xdr:rowOff>38100</xdr:rowOff>
              </to>
            </anchor>
          </objectPr>
        </oleObject>
      </mc:Choice>
      <mc:Fallback>
        <oleObject progId="Equation.3" shapeId="2051" r:id="rId21"/>
      </mc:Fallback>
    </mc:AlternateContent>
    <mc:AlternateContent xmlns:mc="http://schemas.openxmlformats.org/markup-compatibility/2006">
      <mc:Choice Requires="x14">
        <oleObject progId="Equation.3" shapeId="2052" r:id="rId23">
          <objectPr defaultSize="0" autoPict="0" r:id="rId24">
            <anchor moveWithCells="1">
              <from>
                <xdr:col>0</xdr:col>
                <xdr:colOff>45720</xdr:colOff>
                <xdr:row>32</xdr:row>
                <xdr:rowOff>76200</xdr:rowOff>
              </from>
              <to>
                <xdr:col>6</xdr:col>
                <xdr:colOff>259080</xdr:colOff>
                <xdr:row>33</xdr:row>
                <xdr:rowOff>175260</xdr:rowOff>
              </to>
            </anchor>
          </objectPr>
        </oleObject>
      </mc:Choice>
      <mc:Fallback>
        <oleObject progId="Equation.3" shapeId="2052" r:id="rId23"/>
      </mc:Fallback>
    </mc:AlternateContent>
    <mc:AlternateContent xmlns:mc="http://schemas.openxmlformats.org/markup-compatibility/2006">
      <mc:Choice Requires="x14">
        <oleObject progId="Equation.3" shapeId="2053" r:id="rId25">
          <objectPr defaultSize="0" autoPict="0" r:id="rId26">
            <anchor moveWithCells="1">
              <from>
                <xdr:col>0</xdr:col>
                <xdr:colOff>83820</xdr:colOff>
                <xdr:row>9</xdr:row>
                <xdr:rowOff>99060</xdr:rowOff>
              </from>
              <to>
                <xdr:col>5</xdr:col>
                <xdr:colOff>60960</xdr:colOff>
                <xdr:row>10</xdr:row>
                <xdr:rowOff>144780</xdr:rowOff>
              </to>
            </anchor>
          </objectPr>
        </oleObject>
      </mc:Choice>
      <mc:Fallback>
        <oleObject progId="Equation.3" shapeId="2053" r:id="rId25"/>
      </mc:Fallback>
    </mc:AlternateContent>
    <mc:AlternateContent xmlns:mc="http://schemas.openxmlformats.org/markup-compatibility/2006">
      <mc:Choice Requires="x14">
        <oleObject progId="Equation.3" shapeId="2054" r:id="rId27">
          <objectPr defaultSize="0" autoPict="0" r:id="rId28">
            <anchor moveWithCells="1">
              <from>
                <xdr:col>0</xdr:col>
                <xdr:colOff>68580</xdr:colOff>
                <xdr:row>38</xdr:row>
                <xdr:rowOff>76200</xdr:rowOff>
              </from>
              <to>
                <xdr:col>4</xdr:col>
                <xdr:colOff>403860</xdr:colOff>
                <xdr:row>39</xdr:row>
                <xdr:rowOff>99060</xdr:rowOff>
              </to>
            </anchor>
          </objectPr>
        </oleObject>
      </mc:Choice>
      <mc:Fallback>
        <oleObject progId="Equation.3" shapeId="2054" r:id="rId27"/>
      </mc:Fallback>
    </mc:AlternateContent>
    <mc:AlternateContent xmlns:mc="http://schemas.openxmlformats.org/markup-compatibility/2006">
      <mc:Choice Requires="x14">
        <oleObject progId="Equation.3" shapeId="2055" r:id="rId29">
          <objectPr defaultSize="0" autoPict="0" r:id="rId30">
            <anchor moveWithCells="1">
              <from>
                <xdr:col>0</xdr:col>
                <xdr:colOff>38100</xdr:colOff>
                <xdr:row>61</xdr:row>
                <xdr:rowOff>99060</xdr:rowOff>
              </from>
              <to>
                <xdr:col>6</xdr:col>
                <xdr:colOff>99060</xdr:colOff>
                <xdr:row>63</xdr:row>
                <xdr:rowOff>182880</xdr:rowOff>
              </to>
            </anchor>
          </objectPr>
        </oleObject>
      </mc:Choice>
      <mc:Fallback>
        <oleObject progId="Equation.3" shapeId="2055" r:id="rId29"/>
      </mc:Fallback>
    </mc:AlternateContent>
    <mc:AlternateContent xmlns:mc="http://schemas.openxmlformats.org/markup-compatibility/2006">
      <mc:Choice Requires="x14">
        <oleObject progId="Equation.3" shapeId="2056" r:id="rId31">
          <objectPr defaultSize="0" autoPict="0" r:id="rId32">
            <anchor moveWithCells="1">
              <from>
                <xdr:col>0</xdr:col>
                <xdr:colOff>83820</xdr:colOff>
                <xdr:row>82</xdr:row>
                <xdr:rowOff>152400</xdr:rowOff>
              </from>
              <to>
                <xdr:col>6</xdr:col>
                <xdr:colOff>350520</xdr:colOff>
                <xdr:row>85</xdr:row>
                <xdr:rowOff>45720</xdr:rowOff>
              </to>
            </anchor>
          </objectPr>
        </oleObject>
      </mc:Choice>
      <mc:Fallback>
        <oleObject progId="Equation.3" shapeId="2056" r:id="rId31"/>
      </mc:Fallback>
    </mc:AlternateContent>
    <mc:AlternateContent xmlns:mc="http://schemas.openxmlformats.org/markup-compatibility/2006">
      <mc:Choice Requires="x14">
        <oleObject progId="Equation.3" shapeId="2057" r:id="rId33">
          <objectPr defaultSize="0" autoPict="0" r:id="rId34">
            <anchor moveWithCells="1">
              <from>
                <xdr:col>0</xdr:col>
                <xdr:colOff>99060</xdr:colOff>
                <xdr:row>202</xdr:row>
                <xdr:rowOff>152400</xdr:rowOff>
              </from>
              <to>
                <xdr:col>5</xdr:col>
                <xdr:colOff>251460</xdr:colOff>
                <xdr:row>204</xdr:row>
                <xdr:rowOff>76200</xdr:rowOff>
              </to>
            </anchor>
          </objectPr>
        </oleObject>
      </mc:Choice>
      <mc:Fallback>
        <oleObject progId="Equation.3" shapeId="2057" r:id="rId3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483"/>
  <sheetViews>
    <sheetView topLeftCell="A184" workbookViewId="0">
      <selection sqref="A1:I206"/>
    </sheetView>
  </sheetViews>
  <sheetFormatPr defaultColWidth="9.109375" defaultRowHeight="18" x14ac:dyDescent="0.35"/>
  <cols>
    <col min="1" max="1" width="8.33203125" style="7" customWidth="1"/>
    <col min="2" max="2" width="8.5546875" style="7" customWidth="1"/>
    <col min="3" max="3" width="7" style="7" customWidth="1"/>
    <col min="4" max="4" width="13.109375" style="7" customWidth="1"/>
    <col min="5" max="5" width="9.109375" style="7" customWidth="1"/>
    <col min="6" max="6" width="9.33203125" style="7" customWidth="1"/>
    <col min="7" max="7" width="8" style="7" customWidth="1"/>
    <col min="8" max="8" width="6.33203125" style="7" customWidth="1"/>
    <col min="9" max="9" width="7.88671875" style="7" customWidth="1"/>
    <col min="10" max="10" width="9.6640625" style="7" customWidth="1"/>
    <col min="11" max="11" width="11.109375" style="7" customWidth="1"/>
    <col min="12" max="12" width="5.5546875" style="7" customWidth="1"/>
    <col min="13" max="13" width="6.6640625" style="7" customWidth="1"/>
    <col min="14" max="14" width="8.5546875" style="7" customWidth="1"/>
    <col min="15" max="15" width="11.33203125" style="7" customWidth="1"/>
    <col min="16" max="16" width="12.5546875" style="7" customWidth="1"/>
    <col min="17" max="17" width="13" style="7" customWidth="1"/>
    <col min="18" max="22" width="9.109375" style="7"/>
    <col min="23" max="23" width="8.6640625" style="7" customWidth="1"/>
    <col min="24" max="24" width="13.5546875" style="7" customWidth="1"/>
    <col min="25" max="26" width="9.109375" style="7"/>
    <col min="27" max="27" width="12.109375" style="7" customWidth="1"/>
    <col min="28" max="35" width="9.109375" style="7"/>
    <col min="36" max="36" width="12.6640625" style="7" customWidth="1"/>
    <col min="37" max="38" width="9.109375" style="7"/>
    <col min="39" max="39" width="12.109375" style="7" customWidth="1"/>
    <col min="40" max="16384" width="9.109375" style="7"/>
  </cols>
  <sheetData>
    <row r="1" spans="1:17" x14ac:dyDescent="0.35">
      <c r="A1" s="116" t="s">
        <v>137</v>
      </c>
    </row>
    <row r="3" spans="1:17" x14ac:dyDescent="0.35">
      <c r="A3" s="117" t="str">
        <f>Изчисление!A1</f>
        <v>За лек автомобил 1</v>
      </c>
      <c r="B3" s="41"/>
      <c r="C3" s="39"/>
      <c r="D3" s="40"/>
    </row>
    <row r="5" spans="1:17" x14ac:dyDescent="0.35">
      <c r="I5" s="7" t="s">
        <v>145</v>
      </c>
    </row>
    <row r="7" spans="1:17" x14ac:dyDescent="0.35">
      <c r="A7" s="7" t="s">
        <v>302</v>
      </c>
    </row>
    <row r="8" spans="1:17" x14ac:dyDescent="0.35">
      <c r="A8" s="12" t="s">
        <v>303</v>
      </c>
    </row>
    <row r="9" spans="1:17" x14ac:dyDescent="0.35">
      <c r="A9" s="7" t="s">
        <v>138</v>
      </c>
    </row>
    <row r="12" spans="1:17" x14ac:dyDescent="0.35">
      <c r="A12" s="10" t="s">
        <v>132</v>
      </c>
    </row>
    <row r="13" spans="1:17" ht="21" x14ac:dyDescent="0.4">
      <c r="A13" s="7" t="s">
        <v>133</v>
      </c>
      <c r="O13" s="8"/>
      <c r="P13" s="8"/>
      <c r="Q13" s="8"/>
    </row>
    <row r="14" spans="1:17" ht="21" x14ac:dyDescent="0.4">
      <c r="A14" s="7" t="s">
        <v>93</v>
      </c>
      <c r="O14" s="8"/>
    </row>
    <row r="16" spans="1:17" x14ac:dyDescent="0.35">
      <c r="A16" s="28" t="s">
        <v>139</v>
      </c>
      <c r="B16" s="13">
        <f>Изчисление!B3</f>
        <v>0.7</v>
      </c>
      <c r="C16" s="7" t="s">
        <v>204</v>
      </c>
      <c r="E16" s="15"/>
      <c r="F16" s="11"/>
    </row>
    <row r="17" spans="1:44" x14ac:dyDescent="0.35">
      <c r="A17" s="28" t="s">
        <v>94</v>
      </c>
      <c r="B17" s="17">
        <f>Изчисление!B5</f>
        <v>0</v>
      </c>
      <c r="C17" s="7" t="s">
        <v>8</v>
      </c>
      <c r="E17" s="15"/>
      <c r="F17" s="8"/>
      <c r="O17" s="8"/>
      <c r="P17" s="8"/>
      <c r="Q17" s="8"/>
    </row>
    <row r="18" spans="1:44" x14ac:dyDescent="0.35">
      <c r="A18" s="28" t="s">
        <v>95</v>
      </c>
      <c r="B18" s="13">
        <f>Изчисление!B4</f>
        <v>8.1</v>
      </c>
      <c r="C18" s="7" t="s">
        <v>4</v>
      </c>
      <c r="E18" s="15"/>
      <c r="F18" s="11"/>
      <c r="O18" s="8"/>
    </row>
    <row r="19" spans="1:44" ht="21" x14ac:dyDescent="0.4">
      <c r="A19" s="28" t="s">
        <v>96</v>
      </c>
      <c r="B19" s="13">
        <f>Изчисление!B6</f>
        <v>6.87</v>
      </c>
      <c r="C19" s="7" t="s">
        <v>134</v>
      </c>
      <c r="E19" s="15"/>
      <c r="F19" s="11"/>
    </row>
    <row r="20" spans="1:44" x14ac:dyDescent="0.35">
      <c r="A20" s="31" t="s">
        <v>234</v>
      </c>
      <c r="B20" s="136">
        <f>Изчисление!B7</f>
        <v>0</v>
      </c>
      <c r="C20" s="9" t="s">
        <v>14</v>
      </c>
    </row>
    <row r="21" spans="1:44" x14ac:dyDescent="0.35">
      <c r="A21" s="43"/>
      <c r="B21" s="136">
        <f>Изчисление!B8</f>
        <v>0</v>
      </c>
      <c r="C21" s="9" t="s">
        <v>17</v>
      </c>
    </row>
    <row r="24" spans="1:44" x14ac:dyDescent="0.35">
      <c r="A24" s="7" t="s">
        <v>158</v>
      </c>
    </row>
    <row r="26" spans="1:44" x14ac:dyDescent="0.35">
      <c r="A26" s="29" t="s">
        <v>97</v>
      </c>
      <c r="B26" s="44">
        <f>Изчисление!B10</f>
        <v>10.5</v>
      </c>
      <c r="C26" s="14" t="s">
        <v>14</v>
      </c>
      <c r="N26" s="8"/>
    </row>
    <row r="27" spans="1:44" x14ac:dyDescent="0.35">
      <c r="A27" s="15"/>
      <c r="B27" s="44">
        <f>Изчисление!B11</f>
        <v>37.799999999999997</v>
      </c>
      <c r="C27" s="7" t="s">
        <v>17</v>
      </c>
      <c r="N27" s="8"/>
    </row>
    <row r="28" spans="1:44" x14ac:dyDescent="0.35">
      <c r="N28" s="11"/>
    </row>
    <row r="29" spans="1:44" x14ac:dyDescent="0.35">
      <c r="R29" s="8"/>
      <c r="AE29" s="8"/>
      <c r="AF29" s="8"/>
      <c r="AQ29" s="8"/>
      <c r="AR29" s="8"/>
    </row>
    <row r="30" spans="1:44" x14ac:dyDescent="0.35">
      <c r="A30" s="117" t="str">
        <f>Изчисление!L1</f>
        <v>За лек автомобил 2</v>
      </c>
      <c r="B30" s="39"/>
      <c r="C30" s="39"/>
      <c r="D30" s="40"/>
      <c r="R30" s="8"/>
      <c r="AE30" s="8"/>
      <c r="AF30" s="8"/>
      <c r="AQ30" s="8"/>
      <c r="AR30" s="8"/>
    </row>
    <row r="31" spans="1:44" x14ac:dyDescent="0.35">
      <c r="B31" s="16"/>
      <c r="I31" s="16"/>
      <c r="R31" s="8"/>
      <c r="AE31" s="8"/>
      <c r="AF31" s="8"/>
      <c r="AQ31" s="8"/>
      <c r="AR31" s="8"/>
    </row>
    <row r="32" spans="1:44" x14ac:dyDescent="0.35">
      <c r="R32" s="8"/>
      <c r="AE32" s="8"/>
      <c r="AF32" s="8"/>
      <c r="AQ32" s="8"/>
      <c r="AR32" s="8"/>
    </row>
    <row r="33" spans="1:44" x14ac:dyDescent="0.35">
      <c r="I33" s="7" t="s">
        <v>148</v>
      </c>
      <c r="R33" s="8"/>
      <c r="AE33" s="8"/>
      <c r="AF33" s="8"/>
      <c r="AQ33" s="8"/>
      <c r="AR33" s="8"/>
    </row>
    <row r="34" spans="1:44" x14ac:dyDescent="0.35">
      <c r="R34" s="8"/>
      <c r="AE34" s="8"/>
      <c r="AF34" s="8"/>
      <c r="AQ34" s="8"/>
      <c r="AR34" s="8"/>
    </row>
    <row r="35" spans="1:44" x14ac:dyDescent="0.35">
      <c r="A35" s="7" t="s">
        <v>304</v>
      </c>
      <c r="R35" s="8"/>
      <c r="AE35" s="8"/>
      <c r="AF35" s="8"/>
      <c r="AQ35" s="8"/>
      <c r="AR35" s="8"/>
    </row>
    <row r="36" spans="1:44" x14ac:dyDescent="0.35">
      <c r="A36" s="7" t="s">
        <v>119</v>
      </c>
      <c r="R36" s="8"/>
      <c r="AE36" s="8"/>
      <c r="AF36" s="8"/>
      <c r="AQ36" s="8"/>
      <c r="AR36" s="8"/>
    </row>
    <row r="37" spans="1:44" x14ac:dyDescent="0.35">
      <c r="A37" s="12" t="s">
        <v>305</v>
      </c>
      <c r="R37" s="8"/>
      <c r="AE37" s="8"/>
      <c r="AF37" s="8"/>
      <c r="AQ37" s="8"/>
      <c r="AR37" s="8"/>
    </row>
    <row r="38" spans="1:44" x14ac:dyDescent="0.35">
      <c r="R38" s="8"/>
      <c r="AE38" s="8"/>
      <c r="AF38" s="8"/>
      <c r="AQ38" s="8"/>
      <c r="AR38" s="8"/>
    </row>
    <row r="39" spans="1:44" x14ac:dyDescent="0.35">
      <c r="R39" s="8"/>
      <c r="AE39" s="8"/>
      <c r="AF39" s="8"/>
      <c r="AQ39" s="8"/>
      <c r="AR39" s="8"/>
    </row>
    <row r="40" spans="1:44" x14ac:dyDescent="0.35">
      <c r="A40" s="10" t="s">
        <v>132</v>
      </c>
      <c r="R40" s="8"/>
      <c r="AE40" s="8"/>
      <c r="AF40" s="8"/>
      <c r="AQ40" s="8"/>
      <c r="AR40" s="8"/>
    </row>
    <row r="41" spans="1:44" x14ac:dyDescent="0.35">
      <c r="A41" s="7" t="s">
        <v>120</v>
      </c>
      <c r="R41" s="8"/>
      <c r="AE41" s="8"/>
      <c r="AF41" s="8"/>
      <c r="AQ41" s="8"/>
      <c r="AR41" s="8"/>
    </row>
    <row r="42" spans="1:44" x14ac:dyDescent="0.35">
      <c r="A42" s="7" t="s">
        <v>121</v>
      </c>
      <c r="R42" s="8"/>
      <c r="AE42" s="8"/>
      <c r="AF42" s="8"/>
      <c r="AQ42" s="8"/>
      <c r="AR42" s="8"/>
    </row>
    <row r="43" spans="1:44" x14ac:dyDescent="0.35">
      <c r="R43" s="8"/>
      <c r="AE43" s="8"/>
      <c r="AF43" s="8"/>
      <c r="AQ43" s="8"/>
      <c r="AR43" s="8"/>
    </row>
    <row r="44" spans="1:44" x14ac:dyDescent="0.35">
      <c r="A44" s="28" t="s">
        <v>205</v>
      </c>
      <c r="B44" s="13">
        <f>Изчисление!M3</f>
        <v>0.7</v>
      </c>
      <c r="C44" s="7" t="s">
        <v>203</v>
      </c>
      <c r="E44" s="15"/>
      <c r="F44" s="11"/>
      <c r="R44" s="8"/>
      <c r="AE44" s="8"/>
      <c r="AF44" s="8"/>
      <c r="AQ44" s="8"/>
      <c r="AR44" s="8"/>
    </row>
    <row r="45" spans="1:44" x14ac:dyDescent="0.35">
      <c r="A45" s="28" t="s">
        <v>94</v>
      </c>
      <c r="B45" s="17">
        <f>Изчисление!M5</f>
        <v>0</v>
      </c>
      <c r="C45" s="7" t="s">
        <v>8</v>
      </c>
      <c r="E45" s="15"/>
      <c r="F45" s="8"/>
      <c r="R45" s="8"/>
      <c r="AE45" s="8"/>
      <c r="AF45" s="8"/>
      <c r="AQ45" s="8"/>
      <c r="AR45" s="8"/>
    </row>
    <row r="46" spans="1:44" x14ac:dyDescent="0.35">
      <c r="A46" s="28" t="s">
        <v>206</v>
      </c>
      <c r="B46" s="13">
        <f>Изчисление!M4</f>
        <v>18</v>
      </c>
      <c r="C46" s="7" t="s">
        <v>4</v>
      </c>
      <c r="E46" s="15"/>
      <c r="F46" s="11"/>
      <c r="R46" s="8"/>
      <c r="AE46" s="8"/>
      <c r="AF46" s="8"/>
      <c r="AQ46" s="8"/>
      <c r="AR46" s="8"/>
    </row>
    <row r="47" spans="1:44" x14ac:dyDescent="0.35">
      <c r="A47" s="28" t="s">
        <v>207</v>
      </c>
      <c r="B47" s="13">
        <f>Изчисление!M6</f>
        <v>6.87</v>
      </c>
      <c r="C47" s="7" t="s">
        <v>136</v>
      </c>
      <c r="E47" s="15"/>
      <c r="F47" s="11"/>
      <c r="J47" s="8"/>
      <c r="R47" s="8"/>
      <c r="AE47" s="8"/>
      <c r="AF47" s="8"/>
      <c r="AQ47" s="8"/>
      <c r="AR47" s="8"/>
    </row>
    <row r="48" spans="1:44" x14ac:dyDescent="0.35">
      <c r="A48" s="31" t="s">
        <v>208</v>
      </c>
      <c r="B48" s="136">
        <f>Изчисление!M7</f>
        <v>0</v>
      </c>
      <c r="C48" s="9" t="s">
        <v>14</v>
      </c>
      <c r="J48" s="8"/>
      <c r="R48" s="8"/>
      <c r="AE48" s="8"/>
      <c r="AF48" s="8"/>
      <c r="AQ48" s="8"/>
      <c r="AR48" s="8"/>
    </row>
    <row r="49" spans="1:44" x14ac:dyDescent="0.35">
      <c r="A49" s="23"/>
      <c r="B49" s="35">
        <f>Изчисление!M8</f>
        <v>0</v>
      </c>
      <c r="C49" s="9" t="s">
        <v>17</v>
      </c>
      <c r="J49" s="11"/>
      <c r="R49" s="8"/>
      <c r="AE49" s="8"/>
      <c r="AF49" s="8"/>
      <c r="AQ49" s="8"/>
      <c r="AR49" s="8"/>
    </row>
    <row r="50" spans="1:44" x14ac:dyDescent="0.35">
      <c r="D50" s="8"/>
      <c r="J50" s="8"/>
      <c r="R50" s="8"/>
      <c r="AE50" s="8"/>
      <c r="AF50" s="8"/>
      <c r="AQ50" s="8"/>
      <c r="AR50" s="8"/>
    </row>
    <row r="51" spans="1:44" x14ac:dyDescent="0.35">
      <c r="D51" s="8"/>
      <c r="R51" s="8"/>
      <c r="AE51" s="8"/>
      <c r="AF51" s="8"/>
      <c r="AQ51" s="8"/>
      <c r="AR51" s="8"/>
    </row>
    <row r="52" spans="1:44" x14ac:dyDescent="0.35">
      <c r="A52" s="7" t="s">
        <v>159</v>
      </c>
      <c r="D52" s="8"/>
      <c r="J52" s="8"/>
      <c r="R52" s="8"/>
      <c r="AE52" s="8"/>
      <c r="AF52" s="8"/>
      <c r="AQ52" s="8"/>
      <c r="AR52" s="8"/>
    </row>
    <row r="53" spans="1:44" x14ac:dyDescent="0.35">
      <c r="R53" s="8"/>
      <c r="AE53" s="8"/>
      <c r="AF53" s="8"/>
      <c r="AQ53" s="8"/>
      <c r="AR53" s="8"/>
    </row>
    <row r="54" spans="1:44" x14ac:dyDescent="0.35">
      <c r="A54" s="30" t="s">
        <v>122</v>
      </c>
      <c r="B54" s="44">
        <f>Изчисление!M10</f>
        <v>15.7</v>
      </c>
      <c r="C54" s="14" t="s">
        <v>14</v>
      </c>
      <c r="R54" s="8"/>
      <c r="AE54" s="8"/>
      <c r="AF54" s="8"/>
      <c r="AQ54" s="8"/>
      <c r="AR54" s="8"/>
    </row>
    <row r="55" spans="1:44" x14ac:dyDescent="0.35">
      <c r="A55" s="15"/>
      <c r="B55" s="44">
        <f>Изчисление!M11</f>
        <v>56.5</v>
      </c>
      <c r="C55" s="7" t="s">
        <v>17</v>
      </c>
      <c r="E55" s="11"/>
      <c r="R55" s="8"/>
      <c r="AE55" s="8"/>
      <c r="AF55" s="8"/>
      <c r="AQ55" s="8"/>
      <c r="AR55" s="8"/>
    </row>
    <row r="56" spans="1:44" x14ac:dyDescent="0.35">
      <c r="R56" s="8"/>
      <c r="AE56" s="11"/>
      <c r="AF56" s="8"/>
      <c r="AQ56" s="11"/>
      <c r="AR56" s="8"/>
    </row>
    <row r="57" spans="1:44" x14ac:dyDescent="0.35">
      <c r="R57" s="8"/>
      <c r="AE57" s="11"/>
      <c r="AF57" s="8"/>
      <c r="AQ57" s="11"/>
      <c r="AR57" s="8"/>
    </row>
    <row r="58" spans="1:44" x14ac:dyDescent="0.35">
      <c r="A58" s="116" t="s">
        <v>23</v>
      </c>
      <c r="R58" s="8"/>
      <c r="AE58" s="11"/>
      <c r="AF58" s="8"/>
      <c r="AQ58" s="11"/>
      <c r="AR58" s="8"/>
    </row>
    <row r="59" spans="1:44" x14ac:dyDescent="0.35">
      <c r="A59" s="9"/>
      <c r="R59" s="8"/>
      <c r="AE59" s="11"/>
      <c r="AF59" s="8"/>
      <c r="AQ59" s="11"/>
      <c r="AR59" s="8"/>
    </row>
    <row r="60" spans="1:44" x14ac:dyDescent="0.35">
      <c r="A60" s="9"/>
      <c r="R60" s="8"/>
      <c r="AE60" s="11"/>
      <c r="AF60" s="8"/>
      <c r="AQ60" s="11"/>
      <c r="AR60" s="8"/>
    </row>
    <row r="61" spans="1:44" x14ac:dyDescent="0.35">
      <c r="A61" s="9"/>
      <c r="I61" s="7" t="s">
        <v>152</v>
      </c>
      <c r="R61" s="8"/>
      <c r="AE61" s="11"/>
      <c r="AF61" s="8"/>
      <c r="AQ61" s="11"/>
      <c r="AR61" s="8"/>
    </row>
    <row r="62" spans="1:44" x14ac:dyDescent="0.35">
      <c r="A62" s="9"/>
      <c r="R62" s="8"/>
      <c r="AE62" s="11"/>
      <c r="AF62" s="8"/>
      <c r="AQ62" s="11"/>
      <c r="AR62" s="8"/>
    </row>
    <row r="63" spans="1:44" x14ac:dyDescent="0.35">
      <c r="A63" s="9"/>
      <c r="R63" s="8"/>
      <c r="AE63" s="11"/>
      <c r="AF63" s="8"/>
      <c r="AQ63" s="11"/>
      <c r="AR63" s="8"/>
    </row>
    <row r="64" spans="1:44" x14ac:dyDescent="0.35">
      <c r="A64" s="9"/>
      <c r="R64" s="8"/>
      <c r="AE64" s="11"/>
      <c r="AF64" s="8"/>
      <c r="AQ64" s="11"/>
      <c r="AR64" s="8"/>
    </row>
    <row r="65" spans="1:44" x14ac:dyDescent="0.35">
      <c r="A65" s="9"/>
      <c r="I65" s="7" t="s">
        <v>154</v>
      </c>
      <c r="R65" s="8"/>
      <c r="AE65" s="11"/>
      <c r="AF65" s="8"/>
      <c r="AQ65" s="11"/>
      <c r="AR65" s="8"/>
    </row>
    <row r="66" spans="1:44" x14ac:dyDescent="0.35">
      <c r="A66" s="9"/>
      <c r="R66" s="8"/>
      <c r="AE66" s="11"/>
      <c r="AF66" s="8"/>
      <c r="AQ66" s="11"/>
      <c r="AR66" s="8"/>
    </row>
    <row r="67" spans="1:44" x14ac:dyDescent="0.35">
      <c r="A67" s="9"/>
      <c r="R67" s="8"/>
      <c r="AE67" s="11"/>
      <c r="AF67" s="8"/>
      <c r="AQ67" s="11"/>
      <c r="AR67" s="8"/>
    </row>
    <row r="68" spans="1:44" x14ac:dyDescent="0.35">
      <c r="A68" s="7" t="s">
        <v>237</v>
      </c>
      <c r="R68" s="8"/>
      <c r="AE68" s="11"/>
      <c r="AF68" s="8"/>
      <c r="AQ68" s="11"/>
      <c r="AR68" s="8"/>
    </row>
    <row r="69" spans="1:44" x14ac:dyDescent="0.35">
      <c r="M69" s="9"/>
      <c r="R69" s="8"/>
      <c r="AE69" s="11"/>
      <c r="AF69" s="8"/>
      <c r="AQ69" s="11"/>
      <c r="AR69" s="8"/>
    </row>
    <row r="70" spans="1:44" x14ac:dyDescent="0.35">
      <c r="B70"/>
      <c r="C70"/>
      <c r="D70"/>
      <c r="E70"/>
      <c r="F70"/>
      <c r="G70"/>
      <c r="I70" s="7" t="s">
        <v>155</v>
      </c>
      <c r="R70" s="8"/>
      <c r="AE70" s="11"/>
      <c r="AF70" s="8"/>
      <c r="AQ70" s="11"/>
      <c r="AR70" s="8"/>
    </row>
    <row r="71" spans="1:44" x14ac:dyDescent="0.35">
      <c r="B71"/>
      <c r="C71"/>
      <c r="D71"/>
      <c r="E71"/>
      <c r="F71"/>
      <c r="G71"/>
      <c r="R71" s="8"/>
      <c r="AE71" s="11"/>
      <c r="AF71" s="8"/>
      <c r="AQ71" s="11"/>
      <c r="AR71" s="8"/>
    </row>
    <row r="72" spans="1:44" x14ac:dyDescent="0.35">
      <c r="B72"/>
      <c r="C72"/>
      <c r="D72"/>
      <c r="E72"/>
      <c r="F72"/>
      <c r="G72"/>
      <c r="R72" s="8"/>
      <c r="AE72" s="11"/>
      <c r="AF72" s="8"/>
      <c r="AQ72" s="11"/>
      <c r="AR72" s="8"/>
    </row>
    <row r="73" spans="1:44" x14ac:dyDescent="0.35">
      <c r="B73"/>
      <c r="C73"/>
      <c r="D73"/>
      <c r="E73"/>
      <c r="F73"/>
      <c r="G73"/>
      <c r="R73" s="8"/>
      <c r="AE73" s="11"/>
      <c r="AF73" s="8"/>
      <c r="AQ73" s="11"/>
      <c r="AR73" s="8"/>
    </row>
    <row r="74" spans="1:44" x14ac:dyDescent="0.35">
      <c r="B74"/>
      <c r="C74"/>
      <c r="D74"/>
      <c r="E74"/>
      <c r="F74"/>
      <c r="G74"/>
      <c r="R74" s="8"/>
      <c r="AE74" s="11"/>
      <c r="AF74" s="8"/>
      <c r="AQ74" s="11"/>
      <c r="AR74" s="8"/>
    </row>
    <row r="75" spans="1:44" x14ac:dyDescent="0.35">
      <c r="A75"/>
      <c r="B75"/>
      <c r="C75"/>
      <c r="D75"/>
      <c r="E75"/>
      <c r="F75"/>
      <c r="G75"/>
      <c r="R75" s="8"/>
      <c r="AE75" s="11"/>
      <c r="AF75" s="8"/>
      <c r="AQ75" s="11"/>
      <c r="AR75" s="8"/>
    </row>
    <row r="76" spans="1:44" x14ac:dyDescent="0.35">
      <c r="A76"/>
      <c r="B76"/>
      <c r="C76"/>
      <c r="D76"/>
      <c r="E76"/>
      <c r="F76"/>
      <c r="G76"/>
      <c r="R76" s="8"/>
      <c r="AE76" s="11"/>
      <c r="AF76" s="8"/>
      <c r="AQ76" s="11"/>
      <c r="AR76" s="8"/>
    </row>
    <row r="77" spans="1:44" x14ac:dyDescent="0.35">
      <c r="A77"/>
      <c r="B77"/>
      <c r="C77"/>
      <c r="D77"/>
      <c r="E77"/>
      <c r="F77"/>
      <c r="G77"/>
      <c r="R77" s="8"/>
      <c r="AE77" s="11"/>
      <c r="AF77" s="8"/>
      <c r="AQ77" s="11"/>
      <c r="AR77" s="8"/>
    </row>
    <row r="78" spans="1:44" x14ac:dyDescent="0.35">
      <c r="A78"/>
      <c r="B78"/>
      <c r="C78"/>
      <c r="D78"/>
      <c r="E78"/>
      <c r="F78"/>
      <c r="G78"/>
      <c r="R78" s="8"/>
      <c r="AE78" s="11"/>
      <c r="AF78" s="8"/>
      <c r="AQ78" s="11"/>
      <c r="AR78" s="8"/>
    </row>
    <row r="79" spans="1:44" x14ac:dyDescent="0.35">
      <c r="A79"/>
      <c r="B79"/>
      <c r="C79"/>
      <c r="D79"/>
      <c r="E79"/>
      <c r="F79"/>
      <c r="G79"/>
      <c r="R79" s="8"/>
      <c r="AE79" s="11"/>
      <c r="AF79" s="8"/>
      <c r="AQ79" s="11"/>
      <c r="AR79" s="8"/>
    </row>
    <row r="80" spans="1:44" x14ac:dyDescent="0.35">
      <c r="A80"/>
      <c r="B80"/>
      <c r="C80"/>
      <c r="D80"/>
      <c r="E80"/>
      <c r="F80"/>
      <c r="G80"/>
      <c r="R80" s="8"/>
      <c r="AE80" s="11"/>
      <c r="AF80" s="8"/>
      <c r="AQ80" s="11"/>
      <c r="AR80" s="8"/>
    </row>
    <row r="81" spans="1:44" x14ac:dyDescent="0.35">
      <c r="A81" s="117" t="str">
        <f>Изчисление!A1</f>
        <v>За лек автомобил 1</v>
      </c>
      <c r="B81" s="45"/>
      <c r="C81" s="45"/>
      <c r="D81" s="40"/>
      <c r="E81"/>
      <c r="F81"/>
      <c r="G81"/>
      <c r="R81" s="8"/>
      <c r="AE81" s="11"/>
      <c r="AF81" s="8"/>
      <c r="AQ81" s="11"/>
      <c r="AR81" s="8"/>
    </row>
    <row r="82" spans="1:44" x14ac:dyDescent="0.35">
      <c r="A82" s="9"/>
      <c r="B82"/>
      <c r="C82"/>
      <c r="D82"/>
      <c r="E82"/>
      <c r="F82"/>
      <c r="G82"/>
      <c r="R82" s="8"/>
      <c r="AE82" s="11"/>
      <c r="AF82" s="8"/>
      <c r="AQ82" s="11"/>
      <c r="AR82" s="8"/>
    </row>
    <row r="83" spans="1:44" x14ac:dyDescent="0.35">
      <c r="A83" s="28" t="s">
        <v>100</v>
      </c>
      <c r="B83" s="17">
        <f>Изчисление!B13</f>
        <v>0</v>
      </c>
      <c r="C83" s="7" t="s">
        <v>8</v>
      </c>
      <c r="D83"/>
      <c r="E83"/>
      <c r="F83"/>
      <c r="G83"/>
      <c r="R83" s="8"/>
      <c r="AE83" s="11"/>
      <c r="AF83" s="8"/>
      <c r="AQ83" s="11"/>
      <c r="AR83" s="8"/>
    </row>
    <row r="84" spans="1:44" x14ac:dyDescent="0.35">
      <c r="A84" s="28" t="s">
        <v>101</v>
      </c>
      <c r="B84" s="17">
        <f>Изчисление!B14</f>
        <v>341</v>
      </c>
      <c r="C84" s="7" t="s">
        <v>8</v>
      </c>
      <c r="D84"/>
      <c r="E84"/>
      <c r="F84"/>
      <c r="G84"/>
      <c r="R84" s="8"/>
      <c r="AE84" s="11"/>
      <c r="AF84" s="8"/>
      <c r="AQ84" s="11"/>
      <c r="AR84" s="8"/>
    </row>
    <row r="85" spans="1:44" x14ac:dyDescent="0.35">
      <c r="A85" s="28" t="s">
        <v>102</v>
      </c>
      <c r="B85" s="13">
        <f>Изчисление!B16</f>
        <v>10.5</v>
      </c>
      <c r="C85" s="7" t="s">
        <v>14</v>
      </c>
      <c r="D85"/>
      <c r="E85"/>
      <c r="F85"/>
      <c r="G85"/>
      <c r="R85" s="8"/>
      <c r="AE85" s="11"/>
      <c r="AF85" s="8"/>
      <c r="AQ85" s="11"/>
      <c r="AR85" s="8"/>
    </row>
    <row r="86" spans="1:44" x14ac:dyDescent="0.35">
      <c r="A86" s="28" t="s">
        <v>103</v>
      </c>
      <c r="B86" s="17">
        <f>Изчисление!B15</f>
        <v>1250</v>
      </c>
      <c r="C86" s="7" t="s">
        <v>104</v>
      </c>
      <c r="D86"/>
      <c r="E86"/>
      <c r="F86"/>
      <c r="G86"/>
      <c r="R86" s="8"/>
      <c r="AE86" s="11"/>
      <c r="AF86" s="8"/>
      <c r="AQ86" s="11"/>
      <c r="AR86" s="8"/>
    </row>
    <row r="87" spans="1:44" x14ac:dyDescent="0.35">
      <c r="A87"/>
      <c r="B87"/>
      <c r="C87"/>
      <c r="D87"/>
      <c r="E87"/>
      <c r="F87"/>
      <c r="G87"/>
      <c r="R87" s="8"/>
      <c r="AE87" s="11"/>
      <c r="AF87" s="8"/>
      <c r="AQ87" s="11"/>
      <c r="AR87" s="8"/>
    </row>
    <row r="88" spans="1:44" x14ac:dyDescent="0.35">
      <c r="A88" s="7" t="s">
        <v>98</v>
      </c>
      <c r="R88" s="8"/>
      <c r="Y88" s="8"/>
      <c r="Z88" s="8"/>
      <c r="AA88" s="8"/>
      <c r="AB88" s="8"/>
      <c r="AC88" s="8"/>
      <c r="AK88" s="8"/>
      <c r="AL88" s="8"/>
      <c r="AM88" s="8"/>
      <c r="AN88" s="8"/>
      <c r="AO88" s="8"/>
    </row>
    <row r="89" spans="1:44" x14ac:dyDescent="0.35">
      <c r="A89" s="7" t="s">
        <v>99</v>
      </c>
      <c r="B89" s="16"/>
      <c r="R89" s="8"/>
    </row>
    <row r="90" spans="1:44" x14ac:dyDescent="0.35">
      <c r="A90" s="7" t="s">
        <v>302</v>
      </c>
      <c r="B90" s="16"/>
      <c r="R90" s="8"/>
      <c r="AE90" s="16"/>
      <c r="AQ90" s="16"/>
    </row>
    <row r="91" spans="1:44" x14ac:dyDescent="0.35">
      <c r="A91" s="7" t="s">
        <v>316</v>
      </c>
      <c r="B91" s="16"/>
      <c r="R91" s="8"/>
      <c r="AE91" s="16"/>
      <c r="AQ91" s="16"/>
    </row>
    <row r="92" spans="1:44" x14ac:dyDescent="0.35">
      <c r="B92" s="16"/>
      <c r="R92" s="8"/>
      <c r="AE92" s="16"/>
      <c r="AQ92" s="16"/>
    </row>
    <row r="93" spans="1:44" x14ac:dyDescent="0.35">
      <c r="A93" s="118" t="str">
        <f>Изчисление!L1</f>
        <v>За лек автомобил 2</v>
      </c>
      <c r="B93" s="46"/>
      <c r="C93" s="40"/>
      <c r="D93" s="40"/>
      <c r="R93" s="14"/>
      <c r="AE93" s="16"/>
      <c r="AQ93" s="16"/>
    </row>
    <row r="94" spans="1:44" x14ac:dyDescent="0.35">
      <c r="A94" s="9"/>
      <c r="B94" s="16"/>
      <c r="R94" s="14"/>
      <c r="AE94" s="16"/>
      <c r="AQ94" s="16"/>
    </row>
    <row r="95" spans="1:44" x14ac:dyDescent="0.35">
      <c r="A95" s="28" t="s">
        <v>123</v>
      </c>
      <c r="B95" s="17">
        <f>Изчисление!M13</f>
        <v>188</v>
      </c>
      <c r="C95" s="7" t="s">
        <v>124</v>
      </c>
      <c r="R95" s="14"/>
      <c r="AE95" s="16"/>
      <c r="AQ95" s="16"/>
    </row>
    <row r="96" spans="1:44" x14ac:dyDescent="0.35">
      <c r="A96" s="32" t="s">
        <v>125</v>
      </c>
      <c r="B96" s="17">
        <f>Изчисление!M14</f>
        <v>186</v>
      </c>
      <c r="C96" s="7" t="s">
        <v>8</v>
      </c>
      <c r="R96" s="14"/>
      <c r="AE96" s="16"/>
      <c r="AQ96" s="16"/>
    </row>
    <row r="97" spans="1:43" x14ac:dyDescent="0.35">
      <c r="A97" s="28" t="s">
        <v>126</v>
      </c>
      <c r="B97" s="13">
        <f>Изчисление!M16</f>
        <v>15.7</v>
      </c>
      <c r="C97" s="7" t="s">
        <v>14</v>
      </c>
      <c r="R97" s="14"/>
      <c r="AE97" s="16"/>
      <c r="AQ97" s="16"/>
    </row>
    <row r="98" spans="1:43" x14ac:dyDescent="0.35">
      <c r="A98" s="28" t="s">
        <v>127</v>
      </c>
      <c r="B98" s="17">
        <f>Изчисление!M15</f>
        <v>1420</v>
      </c>
      <c r="C98" s="7" t="s">
        <v>35</v>
      </c>
      <c r="R98" s="14"/>
      <c r="AE98" s="16"/>
      <c r="AQ98" s="16"/>
    </row>
    <row r="99" spans="1:43" x14ac:dyDescent="0.35">
      <c r="B99" s="16"/>
      <c r="R99" s="14"/>
      <c r="AE99" s="16"/>
      <c r="AQ99" s="16"/>
    </row>
    <row r="100" spans="1:43" x14ac:dyDescent="0.35">
      <c r="A100" s="7" t="s">
        <v>149</v>
      </c>
      <c r="B100" s="16"/>
      <c r="AE100" s="16"/>
      <c r="AQ100" s="16"/>
    </row>
    <row r="101" spans="1:43" x14ac:dyDescent="0.35">
      <c r="A101" s="7" t="s">
        <v>150</v>
      </c>
      <c r="B101" s="16"/>
      <c r="AE101" s="16"/>
      <c r="AQ101" s="16"/>
    </row>
    <row r="102" spans="1:43" x14ac:dyDescent="0.35">
      <c r="A102" s="7" t="s">
        <v>304</v>
      </c>
      <c r="B102" s="16"/>
      <c r="R102" s="8"/>
      <c r="AE102" s="16"/>
      <c r="AQ102" s="16"/>
    </row>
    <row r="103" spans="1:43" x14ac:dyDescent="0.35">
      <c r="A103" s="7" t="s">
        <v>317</v>
      </c>
      <c r="B103" s="16"/>
      <c r="R103" s="8"/>
      <c r="AE103" s="16"/>
      <c r="AQ103" s="16"/>
    </row>
    <row r="104" spans="1:43" x14ac:dyDescent="0.35">
      <c r="B104" s="16"/>
      <c r="R104" s="8"/>
      <c r="AE104" s="16"/>
      <c r="AQ104" s="16"/>
    </row>
    <row r="105" spans="1:43" x14ac:dyDescent="0.35">
      <c r="A105" s="28" t="s">
        <v>238</v>
      </c>
      <c r="B105" s="17">
        <f>Изчисление!B18</f>
        <v>9</v>
      </c>
      <c r="C105" s="7" t="s">
        <v>124</v>
      </c>
      <c r="R105" s="8"/>
      <c r="AE105" s="16"/>
      <c r="AQ105" s="16"/>
    </row>
    <row r="106" spans="1:43" x14ac:dyDescent="0.35">
      <c r="A106" s="32" t="s">
        <v>239</v>
      </c>
      <c r="B106" s="17">
        <f>Изчисление!B20</f>
        <v>0.4</v>
      </c>
      <c r="R106" s="8"/>
      <c r="AE106" s="16"/>
      <c r="AQ106" s="16"/>
    </row>
    <row r="107" spans="1:43" x14ac:dyDescent="0.35">
      <c r="R107" s="8"/>
      <c r="AE107" s="16"/>
      <c r="AQ107" s="16"/>
    </row>
    <row r="108" spans="1:43" x14ac:dyDescent="0.35">
      <c r="A108" s="7" t="s">
        <v>240</v>
      </c>
      <c r="R108" s="8"/>
      <c r="AE108" s="16"/>
      <c r="AQ108" s="16"/>
    </row>
    <row r="109" spans="1:43" x14ac:dyDescent="0.35">
      <c r="A109" s="7" t="s">
        <v>241</v>
      </c>
      <c r="B109" s="8"/>
      <c r="R109" s="8"/>
      <c r="AE109" s="16"/>
      <c r="AQ109" s="16"/>
    </row>
    <row r="110" spans="1:43" x14ac:dyDescent="0.35">
      <c r="R110" s="8"/>
      <c r="AE110" s="16"/>
      <c r="AQ110" s="16"/>
    </row>
    <row r="111" spans="1:43" x14ac:dyDescent="0.35">
      <c r="R111" s="8"/>
      <c r="AE111" s="16"/>
      <c r="AQ111" s="16"/>
    </row>
    <row r="112" spans="1:43" x14ac:dyDescent="0.35">
      <c r="A112" s="7" t="s">
        <v>242</v>
      </c>
      <c r="R112" s="8"/>
      <c r="AE112" s="16"/>
      <c r="AQ112" s="16"/>
    </row>
    <row r="113" spans="1:43" x14ac:dyDescent="0.35">
      <c r="R113" s="8"/>
      <c r="AE113" s="16"/>
      <c r="AQ113" s="16"/>
    </row>
    <row r="114" spans="1:43" x14ac:dyDescent="0.35">
      <c r="C114" s="26" t="s">
        <v>219</v>
      </c>
      <c r="D114" s="13">
        <f>Изчисление!V26</f>
        <v>1250</v>
      </c>
      <c r="E114" s="1" t="s">
        <v>35</v>
      </c>
      <c r="R114" s="8"/>
      <c r="AE114" s="16"/>
      <c r="AQ114" s="16"/>
    </row>
    <row r="115" spans="1:43" x14ac:dyDescent="0.35">
      <c r="C115" s="26" t="s">
        <v>220</v>
      </c>
      <c r="D115" s="13">
        <f>Изчисление!V27</f>
        <v>-1406.18</v>
      </c>
      <c r="E115" s="1" t="s">
        <v>35</v>
      </c>
      <c r="R115" s="8"/>
      <c r="AE115" s="16"/>
      <c r="AQ115" s="16"/>
    </row>
    <row r="116" spans="1:43" x14ac:dyDescent="0.35">
      <c r="C116" s="26" t="s">
        <v>221</v>
      </c>
      <c r="D116" s="13">
        <f>Изчисление!V28</f>
        <v>-0.99</v>
      </c>
      <c r="E116" s="1"/>
      <c r="R116" s="8"/>
      <c r="AE116" s="16"/>
      <c r="AQ116" s="16"/>
    </row>
    <row r="117" spans="1:43" x14ac:dyDescent="0.35">
      <c r="C117" s="26" t="s">
        <v>222</v>
      </c>
      <c r="D117" s="13">
        <f>Изчисление!V29</f>
        <v>-1</v>
      </c>
      <c r="E117" s="1"/>
      <c r="R117" s="8"/>
      <c r="AE117" s="16"/>
      <c r="AQ117" s="16"/>
    </row>
    <row r="118" spans="1:43" x14ac:dyDescent="0.35">
      <c r="C118" s="26" t="s">
        <v>223</v>
      </c>
      <c r="D118" s="13">
        <f>Изчисление!V30</f>
        <v>-9761.94</v>
      </c>
      <c r="E118" s="1" t="s">
        <v>224</v>
      </c>
      <c r="R118" s="8"/>
    </row>
    <row r="119" spans="1:43" x14ac:dyDescent="0.35">
      <c r="C119" s="26" t="s">
        <v>225</v>
      </c>
      <c r="D119" s="13">
        <f>Изчисление!V31</f>
        <v>-62.37</v>
      </c>
      <c r="E119" s="1" t="s">
        <v>226</v>
      </c>
      <c r="R119" s="8"/>
    </row>
    <row r="120" spans="1:43" x14ac:dyDescent="0.35">
      <c r="R120" s="8"/>
    </row>
    <row r="121" spans="1:43" x14ac:dyDescent="0.35">
      <c r="R121" s="8"/>
    </row>
    <row r="122" spans="1:43" x14ac:dyDescent="0.35">
      <c r="A122" s="117" t="str">
        <f>Изчисление!A1</f>
        <v>За лек автомобил 1</v>
      </c>
      <c r="B122" s="39"/>
      <c r="C122" s="39"/>
      <c r="D122" s="40"/>
      <c r="R122" s="8"/>
    </row>
    <row r="123" spans="1:43" x14ac:dyDescent="0.35">
      <c r="R123" s="8"/>
    </row>
    <row r="124" spans="1:43" x14ac:dyDescent="0.35">
      <c r="A124" s="29" t="s">
        <v>147</v>
      </c>
      <c r="B124" s="44">
        <f>Изчисление!R30</f>
        <v>29.5</v>
      </c>
      <c r="C124" s="14" t="s">
        <v>14</v>
      </c>
      <c r="R124" s="8"/>
    </row>
    <row r="125" spans="1:43" x14ac:dyDescent="0.35">
      <c r="B125" s="44">
        <f>Изчисление!R31</f>
        <v>106.2</v>
      </c>
      <c r="C125" s="14" t="s">
        <v>17</v>
      </c>
      <c r="R125" s="8"/>
    </row>
    <row r="126" spans="1:43" x14ac:dyDescent="0.35">
      <c r="A126" s="15"/>
      <c r="B126" s="137"/>
      <c r="R126" s="8"/>
    </row>
    <row r="127" spans="1:43" x14ac:dyDescent="0.35">
      <c r="A127" s="117" t="str">
        <f>Изчисление!L1</f>
        <v>За лек автомобил 2</v>
      </c>
      <c r="B127" s="138"/>
      <c r="C127" s="39"/>
      <c r="D127" s="40"/>
      <c r="R127" s="8"/>
    </row>
    <row r="128" spans="1:43" x14ac:dyDescent="0.35">
      <c r="A128" s="15"/>
      <c r="B128" s="137"/>
      <c r="R128" s="8"/>
    </row>
    <row r="129" spans="1:18" x14ac:dyDescent="0.35">
      <c r="A129" s="30" t="s">
        <v>213</v>
      </c>
      <c r="B129" s="44">
        <f>Изчисление!Z30</f>
        <v>33.200000000000003</v>
      </c>
      <c r="C129" s="14" t="s">
        <v>14</v>
      </c>
      <c r="R129" s="8"/>
    </row>
    <row r="130" spans="1:18" x14ac:dyDescent="0.35">
      <c r="B130" s="44">
        <f>Изчисление!Z31</f>
        <v>119.5</v>
      </c>
      <c r="C130" s="7" t="s">
        <v>17</v>
      </c>
      <c r="R130" s="8"/>
    </row>
    <row r="131" spans="1:18" x14ac:dyDescent="0.35">
      <c r="B131" s="11"/>
      <c r="R131" s="8"/>
    </row>
    <row r="132" spans="1:18" x14ac:dyDescent="0.35">
      <c r="B132" s="11"/>
      <c r="R132" s="8"/>
    </row>
    <row r="133" spans="1:18" x14ac:dyDescent="0.35">
      <c r="A133" s="120" t="s">
        <v>273</v>
      </c>
      <c r="B133" s="16"/>
      <c r="R133" s="8"/>
    </row>
    <row r="134" spans="1:18" x14ac:dyDescent="0.35">
      <c r="R134" s="8"/>
    </row>
    <row r="135" spans="1:18" x14ac:dyDescent="0.35">
      <c r="A135" s="117" t="str">
        <f>Изчисление!$A$1</f>
        <v>За лек автомобил 1</v>
      </c>
      <c r="B135" s="81"/>
      <c r="C135" s="80"/>
      <c r="R135" s="8"/>
    </row>
    <row r="136" spans="1:18" x14ac:dyDescent="0.35">
      <c r="A136" s="80"/>
      <c r="B136" s="80"/>
      <c r="C136" s="80"/>
      <c r="R136" s="8"/>
    </row>
    <row r="137" spans="1:18" x14ac:dyDescent="0.35">
      <c r="A137" s="86" t="s">
        <v>249</v>
      </c>
      <c r="B137" s="150" t="s">
        <v>250</v>
      </c>
      <c r="C137" s="150"/>
      <c r="D137" s="150"/>
      <c r="E137" s="150" t="s">
        <v>251</v>
      </c>
      <c r="F137" s="150"/>
      <c r="G137" s="150"/>
      <c r="R137" s="8"/>
    </row>
    <row r="138" spans="1:18" x14ac:dyDescent="0.35">
      <c r="A138" s="87" t="s">
        <v>269</v>
      </c>
      <c r="B138" s="155" t="s">
        <v>288</v>
      </c>
      <c r="C138" s="156"/>
      <c r="D138" s="157"/>
      <c r="E138" s="155" t="s">
        <v>291</v>
      </c>
      <c r="F138" s="156"/>
      <c r="G138" s="157"/>
      <c r="R138" s="8"/>
    </row>
    <row r="139" spans="1:18" x14ac:dyDescent="0.35">
      <c r="A139" s="87" t="s">
        <v>270</v>
      </c>
      <c r="B139" s="155">
        <v>0</v>
      </c>
      <c r="C139" s="156"/>
      <c r="D139" s="157"/>
      <c r="E139" s="155">
        <v>0</v>
      </c>
      <c r="F139" s="156"/>
      <c r="G139" s="157"/>
      <c r="R139" s="8"/>
    </row>
    <row r="140" spans="1:18" x14ac:dyDescent="0.35">
      <c r="A140" s="80"/>
      <c r="B140" s="80"/>
      <c r="E140" s="80"/>
      <c r="R140" s="8"/>
    </row>
    <row r="141" spans="1:18" x14ac:dyDescent="0.35">
      <c r="A141" s="86" t="s">
        <v>255</v>
      </c>
      <c r="B141" s="159" t="s">
        <v>250</v>
      </c>
      <c r="C141" s="160"/>
      <c r="D141" s="161"/>
      <c r="E141" s="159" t="s">
        <v>251</v>
      </c>
      <c r="F141" s="160"/>
      <c r="G141" s="161"/>
      <c r="R141" s="8"/>
    </row>
    <row r="142" spans="1:18" x14ac:dyDescent="0.35">
      <c r="A142" s="87" t="s">
        <v>269</v>
      </c>
      <c r="B142" s="155" t="s">
        <v>288</v>
      </c>
      <c r="C142" s="156"/>
      <c r="D142" s="157"/>
      <c r="E142" s="155" t="s">
        <v>291</v>
      </c>
      <c r="F142" s="156"/>
      <c r="G142" s="157"/>
      <c r="R142" s="8"/>
    </row>
    <row r="143" spans="1:18" x14ac:dyDescent="0.35">
      <c r="A143" s="87" t="s">
        <v>270</v>
      </c>
      <c r="B143" s="155" t="s">
        <v>289</v>
      </c>
      <c r="C143" s="156"/>
      <c r="D143" s="157"/>
      <c r="E143" s="155" t="s">
        <v>290</v>
      </c>
      <c r="F143" s="156"/>
      <c r="G143" s="157"/>
      <c r="R143" s="8"/>
    </row>
    <row r="144" spans="1:18" x14ac:dyDescent="0.35">
      <c r="A144" s="80"/>
      <c r="B144" s="80"/>
      <c r="E144" s="80"/>
      <c r="R144" s="8"/>
    </row>
    <row r="145" spans="1:18" x14ac:dyDescent="0.35">
      <c r="A145" s="86" t="s">
        <v>275</v>
      </c>
      <c r="B145" s="159" t="s">
        <v>250</v>
      </c>
      <c r="C145" s="160"/>
      <c r="D145" s="161"/>
      <c r="E145" s="159" t="s">
        <v>251</v>
      </c>
      <c r="F145" s="160"/>
      <c r="G145" s="161"/>
      <c r="R145" s="8"/>
    </row>
    <row r="146" spans="1:18" x14ac:dyDescent="0.35">
      <c r="A146" s="87" t="s">
        <v>269</v>
      </c>
      <c r="B146" s="155">
        <v>0</v>
      </c>
      <c r="C146" s="156"/>
      <c r="D146" s="157"/>
      <c r="E146" s="155">
        <v>0</v>
      </c>
      <c r="F146" s="156"/>
      <c r="G146" s="157"/>
      <c r="R146" s="8"/>
    </row>
    <row r="147" spans="1:18" x14ac:dyDescent="0.35">
      <c r="A147" s="87" t="s">
        <v>270</v>
      </c>
      <c r="B147" s="155" t="s">
        <v>289</v>
      </c>
      <c r="C147" s="156"/>
      <c r="D147" s="157"/>
      <c r="E147" s="155" t="s">
        <v>290</v>
      </c>
      <c r="F147" s="156"/>
      <c r="G147" s="157"/>
      <c r="R147" s="8"/>
    </row>
    <row r="148" spans="1:18" x14ac:dyDescent="0.35">
      <c r="R148" s="8"/>
    </row>
    <row r="149" spans="1:18" x14ac:dyDescent="0.35">
      <c r="A149" s="119" t="s">
        <v>274</v>
      </c>
      <c r="B149" s="80"/>
      <c r="C149" s="80"/>
      <c r="R149" s="8"/>
    </row>
    <row r="150" spans="1:18" x14ac:dyDescent="0.35">
      <c r="A150" s="80"/>
      <c r="B150" s="80"/>
      <c r="C150" s="80"/>
      <c r="R150" s="8"/>
    </row>
    <row r="151" spans="1:18" x14ac:dyDescent="0.35">
      <c r="A151" s="86" t="s">
        <v>249</v>
      </c>
      <c r="B151" s="150" t="s">
        <v>250</v>
      </c>
      <c r="C151" s="150"/>
      <c r="D151" s="150"/>
      <c r="E151" s="150" t="s">
        <v>251</v>
      </c>
      <c r="F151" s="150"/>
      <c r="G151" s="150"/>
      <c r="R151" s="8"/>
    </row>
    <row r="152" spans="1:18" x14ac:dyDescent="0.35">
      <c r="A152" s="87" t="s">
        <v>253</v>
      </c>
      <c r="B152" s="151">
        <f>Изчисление!$R$163</f>
        <v>-106.2</v>
      </c>
      <c r="C152" s="151"/>
      <c r="D152" s="151"/>
      <c r="E152" s="151">
        <f>Изчисление!$S$163</f>
        <v>0</v>
      </c>
      <c r="F152" s="151"/>
      <c r="G152" s="151"/>
      <c r="R152" s="8"/>
    </row>
    <row r="153" spans="1:18" x14ac:dyDescent="0.35">
      <c r="A153" s="87" t="s">
        <v>254</v>
      </c>
      <c r="B153" s="151">
        <f>Изчисление!$R$164</f>
        <v>0</v>
      </c>
      <c r="C153" s="151"/>
      <c r="D153" s="151"/>
      <c r="E153" s="151">
        <f>Изчисление!$S$164</f>
        <v>0</v>
      </c>
      <c r="F153" s="151"/>
      <c r="G153" s="151"/>
      <c r="R153" s="8"/>
    </row>
    <row r="154" spans="1:18" x14ac:dyDescent="0.35">
      <c r="A154" s="80"/>
      <c r="B154" s="134"/>
      <c r="C154" s="135"/>
      <c r="D154" s="135"/>
      <c r="E154" s="134"/>
      <c r="F154" s="135"/>
      <c r="G154" s="135"/>
      <c r="R154" s="8"/>
    </row>
    <row r="155" spans="1:18" x14ac:dyDescent="0.35">
      <c r="A155" s="86" t="s">
        <v>255</v>
      </c>
      <c r="B155" s="158" t="s">
        <v>250</v>
      </c>
      <c r="C155" s="158"/>
      <c r="D155" s="158"/>
      <c r="E155" s="158" t="s">
        <v>251</v>
      </c>
      <c r="F155" s="158"/>
      <c r="G155" s="158"/>
      <c r="R155" s="8"/>
    </row>
    <row r="156" spans="1:18" x14ac:dyDescent="0.35">
      <c r="A156" s="87" t="s">
        <v>253</v>
      </c>
      <c r="B156" s="151">
        <f>Изчисление!$R$168</f>
        <v>-106.2</v>
      </c>
      <c r="C156" s="151"/>
      <c r="D156" s="151"/>
      <c r="E156" s="151">
        <f>Изчисление!$S$168</f>
        <v>0</v>
      </c>
      <c r="F156" s="151"/>
      <c r="G156" s="151"/>
      <c r="R156" s="8"/>
    </row>
    <row r="157" spans="1:18" x14ac:dyDescent="0.35">
      <c r="A157" s="87" t="s">
        <v>254</v>
      </c>
      <c r="B157" s="151">
        <f>Изчисление!$R$169</f>
        <v>-70.5</v>
      </c>
      <c r="C157" s="151"/>
      <c r="D157" s="151"/>
      <c r="E157" s="151">
        <f>Изчисление!$S$169</f>
        <v>-12.3</v>
      </c>
      <c r="F157" s="151"/>
      <c r="G157" s="151"/>
      <c r="R157" s="8"/>
    </row>
    <row r="158" spans="1:18" x14ac:dyDescent="0.35">
      <c r="A158" s="80"/>
      <c r="B158" s="134"/>
      <c r="C158" s="135"/>
      <c r="D158" s="135"/>
      <c r="E158" s="134"/>
      <c r="F158" s="135"/>
      <c r="G158" s="135"/>
      <c r="R158" s="8"/>
    </row>
    <row r="159" spans="1:18" x14ac:dyDescent="0.35">
      <c r="A159" s="86" t="s">
        <v>275</v>
      </c>
      <c r="B159" s="158" t="s">
        <v>250</v>
      </c>
      <c r="C159" s="158"/>
      <c r="D159" s="158"/>
      <c r="E159" s="158" t="s">
        <v>251</v>
      </c>
      <c r="F159" s="158"/>
      <c r="G159" s="158"/>
      <c r="R159" s="8"/>
    </row>
    <row r="160" spans="1:18" x14ac:dyDescent="0.35">
      <c r="A160" s="87" t="s">
        <v>253</v>
      </c>
      <c r="B160" s="151">
        <f>Изчисление!$R$173</f>
        <v>0</v>
      </c>
      <c r="C160" s="151"/>
      <c r="D160" s="151"/>
      <c r="E160" s="151">
        <f>Изчисление!$S$173</f>
        <v>0</v>
      </c>
      <c r="F160" s="151"/>
      <c r="G160" s="151"/>
      <c r="R160" s="8"/>
    </row>
    <row r="161" spans="1:18" x14ac:dyDescent="0.35">
      <c r="A161" s="87" t="s">
        <v>254</v>
      </c>
      <c r="B161" s="151">
        <f>Изчисление!$R$174</f>
        <v>-70.5</v>
      </c>
      <c r="C161" s="151"/>
      <c r="D161" s="151"/>
      <c r="E161" s="151">
        <f>Изчисление!$S$174</f>
        <v>-12.3</v>
      </c>
      <c r="F161" s="151"/>
      <c r="G161" s="151"/>
      <c r="R161" s="8"/>
    </row>
    <row r="162" spans="1:18" x14ac:dyDescent="0.35">
      <c r="A162" s="82"/>
      <c r="B162" s="111"/>
      <c r="C162" s="111"/>
      <c r="D162" s="111"/>
      <c r="E162" s="111"/>
      <c r="F162" s="111"/>
      <c r="G162" s="111"/>
      <c r="R162" s="8"/>
    </row>
    <row r="163" spans="1:18" x14ac:dyDescent="0.35">
      <c r="A163" s="82"/>
      <c r="B163" s="111"/>
      <c r="C163" s="111"/>
      <c r="D163" s="111"/>
      <c r="E163" s="111"/>
      <c r="F163" s="111"/>
      <c r="G163" s="111"/>
      <c r="R163" s="8"/>
    </row>
    <row r="164" spans="1:18" x14ac:dyDescent="0.35">
      <c r="A164" s="117" t="str">
        <f>Изчисление!$L$1</f>
        <v>За лек автомобил 2</v>
      </c>
      <c r="R164" s="8"/>
    </row>
    <row r="165" spans="1:18" x14ac:dyDescent="0.35">
      <c r="A165" s="80"/>
      <c r="B165" s="80"/>
      <c r="C165" s="80"/>
      <c r="R165" s="8"/>
    </row>
    <row r="166" spans="1:18" x14ac:dyDescent="0.35">
      <c r="A166" s="86" t="s">
        <v>249</v>
      </c>
      <c r="B166" s="150" t="s">
        <v>250</v>
      </c>
      <c r="C166" s="150"/>
      <c r="D166" s="150"/>
      <c r="E166" s="150" t="s">
        <v>251</v>
      </c>
      <c r="F166" s="150"/>
      <c r="G166" s="150"/>
      <c r="R166" s="8"/>
    </row>
    <row r="167" spans="1:18" x14ac:dyDescent="0.35">
      <c r="A167" s="87" t="s">
        <v>269</v>
      </c>
      <c r="B167" s="155" t="s">
        <v>292</v>
      </c>
      <c r="C167" s="156"/>
      <c r="D167" s="157"/>
      <c r="E167" s="155" t="s">
        <v>293</v>
      </c>
      <c r="F167" s="156"/>
      <c r="G167" s="157"/>
      <c r="R167" s="8"/>
    </row>
    <row r="168" spans="1:18" x14ac:dyDescent="0.35">
      <c r="A168" s="87" t="s">
        <v>270</v>
      </c>
      <c r="B168" s="155">
        <v>0</v>
      </c>
      <c r="C168" s="156"/>
      <c r="D168" s="157"/>
      <c r="E168" s="155">
        <v>0</v>
      </c>
      <c r="F168" s="156"/>
      <c r="G168" s="157"/>
      <c r="R168" s="8"/>
    </row>
    <row r="169" spans="1:18" x14ac:dyDescent="0.35">
      <c r="A169" s="80"/>
      <c r="B169" s="80"/>
      <c r="E169" s="80"/>
      <c r="R169" s="8"/>
    </row>
    <row r="170" spans="1:18" x14ac:dyDescent="0.35">
      <c r="A170" s="86" t="s">
        <v>255</v>
      </c>
      <c r="B170" s="159" t="s">
        <v>250</v>
      </c>
      <c r="C170" s="160"/>
      <c r="D170" s="161"/>
      <c r="E170" s="159" t="s">
        <v>251</v>
      </c>
      <c r="F170" s="160"/>
      <c r="G170" s="161"/>
      <c r="R170" s="8"/>
    </row>
    <row r="171" spans="1:18" x14ac:dyDescent="0.35">
      <c r="A171" s="87" t="s">
        <v>269</v>
      </c>
      <c r="B171" s="155" t="s">
        <v>292</v>
      </c>
      <c r="C171" s="156"/>
      <c r="D171" s="157"/>
      <c r="E171" s="155" t="s">
        <v>293</v>
      </c>
      <c r="F171" s="156"/>
      <c r="G171" s="157"/>
      <c r="R171" s="8"/>
    </row>
    <row r="172" spans="1:18" x14ac:dyDescent="0.35">
      <c r="A172" s="87" t="s">
        <v>270</v>
      </c>
      <c r="B172" s="155" t="s">
        <v>294</v>
      </c>
      <c r="C172" s="156"/>
      <c r="D172" s="157"/>
      <c r="E172" s="155" t="s">
        <v>295</v>
      </c>
      <c r="F172" s="156"/>
      <c r="G172" s="157"/>
      <c r="R172" s="8"/>
    </row>
    <row r="173" spans="1:18" x14ac:dyDescent="0.35">
      <c r="A173" s="80"/>
      <c r="B173" s="80"/>
      <c r="E173" s="80"/>
      <c r="R173" s="8"/>
    </row>
    <row r="174" spans="1:18" x14ac:dyDescent="0.35">
      <c r="A174" s="86" t="s">
        <v>275</v>
      </c>
      <c r="B174" s="159" t="s">
        <v>250</v>
      </c>
      <c r="C174" s="160"/>
      <c r="D174" s="161"/>
      <c r="E174" s="159" t="s">
        <v>251</v>
      </c>
      <c r="F174" s="160"/>
      <c r="G174" s="161"/>
      <c r="R174" s="8"/>
    </row>
    <row r="175" spans="1:18" x14ac:dyDescent="0.35">
      <c r="A175" s="87" t="s">
        <v>269</v>
      </c>
      <c r="B175" s="155">
        <v>0</v>
      </c>
      <c r="C175" s="156"/>
      <c r="D175" s="157"/>
      <c r="E175" s="155">
        <v>0</v>
      </c>
      <c r="F175" s="156"/>
      <c r="G175" s="157"/>
      <c r="R175" s="8"/>
    </row>
    <row r="176" spans="1:18" x14ac:dyDescent="0.35">
      <c r="A176" s="87" t="s">
        <v>270</v>
      </c>
      <c r="B176" s="155" t="s">
        <v>294</v>
      </c>
      <c r="C176" s="156"/>
      <c r="D176" s="157"/>
      <c r="E176" s="155" t="s">
        <v>295</v>
      </c>
      <c r="F176" s="156"/>
      <c r="G176" s="157"/>
      <c r="R176" s="8"/>
    </row>
    <row r="177" spans="1:18" x14ac:dyDescent="0.35">
      <c r="R177" s="8"/>
    </row>
    <row r="178" spans="1:18" x14ac:dyDescent="0.35">
      <c r="R178" s="8"/>
    </row>
    <row r="179" spans="1:18" x14ac:dyDescent="0.35">
      <c r="A179" s="119" t="s">
        <v>274</v>
      </c>
      <c r="B179" s="80"/>
      <c r="C179" s="80"/>
      <c r="R179" s="8"/>
    </row>
    <row r="180" spans="1:18" x14ac:dyDescent="0.35">
      <c r="A180" s="80"/>
      <c r="B180" s="80"/>
      <c r="C180" s="80"/>
      <c r="R180" s="8"/>
    </row>
    <row r="181" spans="1:18" x14ac:dyDescent="0.35">
      <c r="A181" s="86" t="s">
        <v>249</v>
      </c>
      <c r="B181" s="150" t="s">
        <v>250</v>
      </c>
      <c r="C181" s="150"/>
      <c r="D181" s="150"/>
      <c r="E181" s="150" t="s">
        <v>251</v>
      </c>
      <c r="F181" s="150"/>
      <c r="G181" s="150"/>
      <c r="R181" s="8"/>
    </row>
    <row r="182" spans="1:18" x14ac:dyDescent="0.35">
      <c r="A182" s="87" t="s">
        <v>253</v>
      </c>
      <c r="B182" s="151">
        <f>Изчисление!$W$163</f>
        <v>118.3</v>
      </c>
      <c r="C182" s="151"/>
      <c r="D182" s="151"/>
      <c r="E182" s="151">
        <f>Изчисление!$X$163</f>
        <v>16.600000000000001</v>
      </c>
      <c r="F182" s="151"/>
      <c r="G182" s="151"/>
      <c r="R182" s="8"/>
    </row>
    <row r="183" spans="1:18" x14ac:dyDescent="0.35">
      <c r="A183" s="87" t="s">
        <v>254</v>
      </c>
      <c r="B183" s="151">
        <f>Изчисление!$W$164</f>
        <v>0</v>
      </c>
      <c r="C183" s="151"/>
      <c r="D183" s="151"/>
      <c r="E183" s="151">
        <f>Изчисление!$X$164</f>
        <v>0</v>
      </c>
      <c r="F183" s="151"/>
      <c r="G183" s="151"/>
      <c r="R183" s="8"/>
    </row>
    <row r="184" spans="1:18" x14ac:dyDescent="0.35">
      <c r="A184" s="80"/>
      <c r="B184" s="134"/>
      <c r="C184" s="135"/>
      <c r="D184" s="135"/>
      <c r="E184" s="134"/>
      <c r="F184" s="135"/>
      <c r="G184" s="135"/>
      <c r="R184" s="8"/>
    </row>
    <row r="185" spans="1:18" x14ac:dyDescent="0.35">
      <c r="A185" s="86" t="s">
        <v>255</v>
      </c>
      <c r="B185" s="158" t="s">
        <v>250</v>
      </c>
      <c r="C185" s="158"/>
      <c r="D185" s="158"/>
      <c r="E185" s="158" t="s">
        <v>251</v>
      </c>
      <c r="F185" s="158"/>
      <c r="G185" s="158"/>
      <c r="R185" s="8"/>
    </row>
    <row r="186" spans="1:18" x14ac:dyDescent="0.35">
      <c r="A186" s="87" t="s">
        <v>253</v>
      </c>
      <c r="B186" s="151">
        <f>Изчисление!$W$168</f>
        <v>118.3</v>
      </c>
      <c r="C186" s="151"/>
      <c r="D186" s="151"/>
      <c r="E186" s="151">
        <f>Изчисление!$X$168</f>
        <v>16.600000000000001</v>
      </c>
      <c r="F186" s="151"/>
      <c r="G186" s="151"/>
      <c r="R186" s="8"/>
    </row>
    <row r="187" spans="1:18" x14ac:dyDescent="0.35">
      <c r="A187" s="87" t="s">
        <v>254</v>
      </c>
      <c r="B187" s="151">
        <f>Изчисление!$W$169</f>
        <v>62.1</v>
      </c>
      <c r="C187" s="151"/>
      <c r="D187" s="151"/>
      <c r="E187" s="151">
        <f>Изчисление!$X$169</f>
        <v>10.7</v>
      </c>
      <c r="F187" s="151"/>
      <c r="G187" s="151"/>
      <c r="R187" s="8"/>
    </row>
    <row r="188" spans="1:18" x14ac:dyDescent="0.35">
      <c r="A188" s="80"/>
      <c r="B188" s="134"/>
      <c r="C188" s="135"/>
      <c r="D188" s="135"/>
      <c r="E188" s="134"/>
      <c r="F188" s="135"/>
      <c r="G188" s="135"/>
      <c r="R188" s="8"/>
    </row>
    <row r="189" spans="1:18" x14ac:dyDescent="0.35">
      <c r="A189" s="86" t="s">
        <v>275</v>
      </c>
      <c r="B189" s="158" t="s">
        <v>250</v>
      </c>
      <c r="C189" s="158"/>
      <c r="D189" s="158"/>
      <c r="E189" s="158" t="s">
        <v>251</v>
      </c>
      <c r="F189" s="158"/>
      <c r="G189" s="158"/>
      <c r="R189" s="8"/>
    </row>
    <row r="190" spans="1:18" x14ac:dyDescent="0.35">
      <c r="A190" s="87" t="s">
        <v>253</v>
      </c>
      <c r="B190" s="151">
        <f>Изчисление!$W$173</f>
        <v>0</v>
      </c>
      <c r="C190" s="151"/>
      <c r="D190" s="151"/>
      <c r="E190" s="151">
        <f>Изчисление!$X$173</f>
        <v>0</v>
      </c>
      <c r="F190" s="151"/>
      <c r="G190" s="151"/>
      <c r="R190" s="8"/>
    </row>
    <row r="191" spans="1:18" x14ac:dyDescent="0.35">
      <c r="A191" s="87" t="s">
        <v>254</v>
      </c>
      <c r="B191" s="151">
        <f>Изчисление!$W$174</f>
        <v>62.1</v>
      </c>
      <c r="C191" s="151"/>
      <c r="D191" s="151"/>
      <c r="E191" s="151">
        <f>Изчисление!$X$174</f>
        <v>10.7</v>
      </c>
      <c r="F191" s="151"/>
      <c r="G191" s="151"/>
      <c r="R191" s="8"/>
    </row>
    <row r="192" spans="1:18" x14ac:dyDescent="0.35">
      <c r="R192" s="8"/>
    </row>
    <row r="193" spans="1:18" x14ac:dyDescent="0.35">
      <c r="A193" s="116" t="s">
        <v>297</v>
      </c>
      <c r="R193" s="8"/>
    </row>
    <row r="194" spans="1:18" x14ac:dyDescent="0.35">
      <c r="R194" s="8"/>
    </row>
    <row r="195" spans="1:18" x14ac:dyDescent="0.35">
      <c r="A195" s="112" t="s">
        <v>261</v>
      </c>
      <c r="B195" s="153">
        <f>Изчисление!$S$152</f>
        <v>29.5</v>
      </c>
      <c r="C195" s="153"/>
      <c r="D195" s="153"/>
      <c r="R195" s="8"/>
    </row>
    <row r="196" spans="1:18" x14ac:dyDescent="0.35">
      <c r="A196" s="112" t="s">
        <v>263</v>
      </c>
      <c r="B196" s="168">
        <f>Изчисление!$S$153</f>
        <v>10.5</v>
      </c>
      <c r="C196" s="169"/>
      <c r="D196" s="170"/>
      <c r="R196" s="8"/>
    </row>
    <row r="197" spans="1:18" x14ac:dyDescent="0.35">
      <c r="A197" s="112" t="s">
        <v>265</v>
      </c>
      <c r="B197" s="171">
        <f>Изчисление!$S$154</f>
        <v>0</v>
      </c>
      <c r="C197" s="172"/>
      <c r="D197" s="173"/>
      <c r="R197" s="8"/>
    </row>
    <row r="198" spans="1:18" x14ac:dyDescent="0.35">
      <c r="A198" s="88" t="s">
        <v>267</v>
      </c>
      <c r="B198" s="165">
        <f>Изчисление!$S$155</f>
        <v>341</v>
      </c>
      <c r="C198" s="166"/>
      <c r="D198" s="167"/>
      <c r="R198" s="8"/>
    </row>
    <row r="199" spans="1:18" x14ac:dyDescent="0.35">
      <c r="A199" s="88" t="s">
        <v>258</v>
      </c>
      <c r="B199" s="174">
        <f>Изчисление!S156</f>
        <v>19.899999999999999</v>
      </c>
      <c r="C199" s="175"/>
      <c r="D199" s="176"/>
      <c r="R199" s="8"/>
    </row>
    <row r="200" spans="1:18" x14ac:dyDescent="0.35">
      <c r="A200" s="88" t="s">
        <v>262</v>
      </c>
      <c r="B200" s="162">
        <f>Изчисление!$X$152</f>
        <v>33.200000000000003</v>
      </c>
      <c r="C200" s="163"/>
      <c r="D200" s="164"/>
      <c r="R200" s="8"/>
    </row>
    <row r="201" spans="1:18" x14ac:dyDescent="0.35">
      <c r="A201" s="88" t="s">
        <v>264</v>
      </c>
      <c r="B201" s="162">
        <f>Изчисление!$X$153</f>
        <v>15.7</v>
      </c>
      <c r="C201" s="163"/>
      <c r="D201" s="164"/>
      <c r="R201" s="8"/>
    </row>
    <row r="202" spans="1:18" x14ac:dyDescent="0.35">
      <c r="A202" s="88" t="s">
        <v>266</v>
      </c>
      <c r="B202" s="165">
        <f>Изчисление!$X$154</f>
        <v>188</v>
      </c>
      <c r="C202" s="166"/>
      <c r="D202" s="167"/>
      <c r="R202" s="8"/>
    </row>
    <row r="203" spans="1:18" x14ac:dyDescent="0.35">
      <c r="A203" s="88" t="s">
        <v>268</v>
      </c>
      <c r="B203" s="165">
        <f>Изчисление!$X$155</f>
        <v>186</v>
      </c>
      <c r="C203" s="166"/>
      <c r="D203" s="167"/>
      <c r="R203" s="8"/>
    </row>
    <row r="204" spans="1:18" x14ac:dyDescent="0.35">
      <c r="A204" s="88" t="s">
        <v>259</v>
      </c>
      <c r="B204" s="162">
        <f>Изчисление!$X$156</f>
        <v>17.5</v>
      </c>
      <c r="C204" s="163"/>
      <c r="D204" s="164"/>
      <c r="R204" s="8"/>
    </row>
    <row r="205" spans="1:18" x14ac:dyDescent="0.35">
      <c r="A205" s="82"/>
      <c r="B205" s="113"/>
      <c r="C205" s="113"/>
      <c r="D205" s="113"/>
      <c r="R205" s="8"/>
    </row>
    <row r="206" spans="1:18" x14ac:dyDescent="0.35">
      <c r="A206" s="121" t="s">
        <v>296</v>
      </c>
      <c r="B206" s="113"/>
      <c r="C206" s="113"/>
      <c r="D206" s="113"/>
      <c r="R206" s="8"/>
    </row>
    <row r="207" spans="1:18" x14ac:dyDescent="0.35">
      <c r="A207" s="82"/>
      <c r="B207" s="113"/>
      <c r="C207" s="113"/>
      <c r="D207" s="113"/>
      <c r="R207" s="8"/>
    </row>
    <row r="208" spans="1:18" x14ac:dyDescent="0.35">
      <c r="A208" s="82"/>
      <c r="B208" s="113"/>
      <c r="C208" s="113"/>
      <c r="D208" s="113"/>
      <c r="R208" s="8"/>
    </row>
    <row r="209" spans="1:18" x14ac:dyDescent="0.35">
      <c r="A209" s="82"/>
      <c r="B209" s="113"/>
      <c r="C209" s="113"/>
      <c r="D209" s="113"/>
      <c r="R209" s="8"/>
    </row>
    <row r="210" spans="1:18" x14ac:dyDescent="0.35">
      <c r="A210" s="82"/>
      <c r="B210" s="113"/>
      <c r="C210" s="113"/>
      <c r="D210" s="113"/>
      <c r="R210" s="8"/>
    </row>
    <row r="211" spans="1:18" x14ac:dyDescent="0.35">
      <c r="A211" s="82"/>
      <c r="B211" s="113"/>
      <c r="C211" s="113"/>
      <c r="D211" s="113"/>
      <c r="R211" s="8"/>
    </row>
    <row r="212" spans="1:18" x14ac:dyDescent="0.35">
      <c r="A212" s="82"/>
      <c r="B212" s="113"/>
      <c r="C212" s="113"/>
      <c r="D212" s="113"/>
      <c r="R212" s="8"/>
    </row>
    <row r="213" spans="1:18" x14ac:dyDescent="0.35">
      <c r="A213" s="82"/>
      <c r="B213" s="113"/>
      <c r="C213" s="113"/>
      <c r="D213" s="113"/>
      <c r="R213" s="8"/>
    </row>
    <row r="214" spans="1:18" x14ac:dyDescent="0.35">
      <c r="A214" s="82"/>
      <c r="B214" s="113"/>
      <c r="C214" s="113"/>
      <c r="D214" s="113"/>
      <c r="R214" s="8"/>
    </row>
    <row r="215" spans="1:18" x14ac:dyDescent="0.35">
      <c r="A215" s="82"/>
      <c r="B215" s="113"/>
      <c r="C215" s="113"/>
      <c r="D215" s="113"/>
      <c r="R215" s="8"/>
    </row>
    <row r="216" spans="1:18" x14ac:dyDescent="0.35">
      <c r="A216" s="82"/>
      <c r="B216" s="113"/>
      <c r="C216" s="113"/>
      <c r="D216" s="113"/>
      <c r="R216" s="8"/>
    </row>
    <row r="217" spans="1:18" x14ac:dyDescent="0.35">
      <c r="A217" s="82"/>
      <c r="B217" s="113"/>
      <c r="C217" s="113"/>
      <c r="D217" s="113"/>
      <c r="R217" s="8"/>
    </row>
    <row r="218" spans="1:18" x14ac:dyDescent="0.35">
      <c r="A218" s="82"/>
      <c r="B218" s="113"/>
      <c r="C218" s="113"/>
      <c r="D218" s="113"/>
      <c r="R218" s="8"/>
    </row>
    <row r="219" spans="1:18" x14ac:dyDescent="0.35">
      <c r="B219" s="11"/>
      <c r="R219" s="8"/>
    </row>
    <row r="220" spans="1:18" x14ac:dyDescent="0.35">
      <c r="B220" s="11"/>
      <c r="R220" s="8"/>
    </row>
    <row r="221" spans="1:18" x14ac:dyDescent="0.35">
      <c r="B221" s="11"/>
      <c r="R221" s="8"/>
    </row>
    <row r="222" spans="1:18" x14ac:dyDescent="0.35">
      <c r="B222" s="11"/>
      <c r="R222" s="8"/>
    </row>
    <row r="223" spans="1:18" x14ac:dyDescent="0.35">
      <c r="B223" s="11"/>
      <c r="R223" s="8"/>
    </row>
    <row r="224" spans="1:18" x14ac:dyDescent="0.35">
      <c r="B224" s="11"/>
      <c r="R224" s="8"/>
    </row>
    <row r="225" spans="1:18" x14ac:dyDescent="0.35">
      <c r="R225" s="8"/>
    </row>
    <row r="226" spans="1:18" x14ac:dyDescent="0.35">
      <c r="A226" s="116" t="s">
        <v>40</v>
      </c>
      <c r="B226" s="18"/>
      <c r="C226" s="14"/>
      <c r="F226" s="14"/>
      <c r="R226" s="8"/>
    </row>
    <row r="227" spans="1:18" x14ac:dyDescent="0.35">
      <c r="A227" s="9"/>
      <c r="B227" s="18"/>
      <c r="C227" s="14"/>
      <c r="F227" s="14"/>
      <c r="R227" s="8"/>
    </row>
    <row r="228" spans="1:18" x14ac:dyDescent="0.35">
      <c r="A228" s="117" t="str">
        <f>Изчисление!A1</f>
        <v>За лек автомобил 1</v>
      </c>
      <c r="B228" s="39"/>
      <c r="C228" s="39"/>
      <c r="D228" s="40"/>
      <c r="F228" s="14"/>
      <c r="R228" s="8"/>
    </row>
    <row r="229" spans="1:18" x14ac:dyDescent="0.35">
      <c r="A229" s="38"/>
      <c r="B229" s="39"/>
      <c r="C229" s="39"/>
      <c r="D229" s="40"/>
      <c r="F229" s="14"/>
      <c r="R229" s="8"/>
    </row>
    <row r="230" spans="1:18" x14ac:dyDescent="0.35">
      <c r="B230" s="18"/>
      <c r="C230" s="14"/>
      <c r="F230" s="14"/>
      <c r="R230" s="8"/>
    </row>
    <row r="231" spans="1:18" x14ac:dyDescent="0.35">
      <c r="B231" s="18"/>
      <c r="C231" s="14"/>
      <c r="I231" s="7" t="s">
        <v>163</v>
      </c>
      <c r="L231" s="14"/>
      <c r="R231" s="8"/>
    </row>
    <row r="232" spans="1:18" x14ac:dyDescent="0.35">
      <c r="B232" s="18"/>
      <c r="C232" s="14"/>
      <c r="F232" s="14"/>
      <c r="R232" s="8"/>
    </row>
    <row r="233" spans="1:18" x14ac:dyDescent="0.35">
      <c r="A233" s="7" t="s">
        <v>105</v>
      </c>
      <c r="B233" s="18"/>
      <c r="C233" s="14"/>
      <c r="F233" s="14"/>
      <c r="R233" s="8"/>
    </row>
    <row r="234" spans="1:18" x14ac:dyDescent="0.35">
      <c r="A234" s="7" t="s">
        <v>106</v>
      </c>
      <c r="B234" s="18"/>
      <c r="C234" s="14"/>
      <c r="F234" s="14"/>
      <c r="R234" s="8"/>
    </row>
    <row r="235" spans="1:18" x14ac:dyDescent="0.35">
      <c r="A235" s="7" t="s">
        <v>107</v>
      </c>
      <c r="B235" s="18"/>
      <c r="C235" s="14"/>
      <c r="F235" s="14"/>
      <c r="R235" s="8"/>
    </row>
    <row r="236" spans="1:18" x14ac:dyDescent="0.35">
      <c r="A236" s="7" t="s">
        <v>318</v>
      </c>
      <c r="B236" s="14"/>
      <c r="I236" s="9"/>
      <c r="R236" s="8"/>
    </row>
    <row r="237" spans="1:18" x14ac:dyDescent="0.35">
      <c r="A237" s="7" t="s">
        <v>306</v>
      </c>
    </row>
    <row r="238" spans="1:18" x14ac:dyDescent="0.35">
      <c r="I238" s="16"/>
    </row>
    <row r="239" spans="1:18" x14ac:dyDescent="0.35">
      <c r="A239" s="4" t="s">
        <v>140</v>
      </c>
      <c r="B239" s="17">
        <f>Изчисление!R55</f>
        <v>0</v>
      </c>
      <c r="C239" s="7" t="s">
        <v>42</v>
      </c>
      <c r="I239" s="16"/>
    </row>
    <row r="240" spans="1:18" ht="21" x14ac:dyDescent="0.4">
      <c r="A240" s="5" t="s">
        <v>141</v>
      </c>
      <c r="B240" s="17">
        <f>Изчисление!R56</f>
        <v>0.7</v>
      </c>
      <c r="C240" s="7" t="s">
        <v>135</v>
      </c>
      <c r="I240" s="16"/>
    </row>
    <row r="241" spans="1:9" x14ac:dyDescent="0.35">
      <c r="A241" s="5" t="s">
        <v>142</v>
      </c>
      <c r="B241" s="17">
        <f>Изчисление!R57</f>
        <v>0</v>
      </c>
      <c r="C241" s="7" t="s">
        <v>109</v>
      </c>
      <c r="I241" s="16"/>
    </row>
    <row r="242" spans="1:9" x14ac:dyDescent="0.35">
      <c r="A242" s="6" t="s">
        <v>49</v>
      </c>
      <c r="B242" s="13">
        <f>Изчисление!R58</f>
        <v>6.87</v>
      </c>
      <c r="C242" s="7" t="s">
        <v>38</v>
      </c>
      <c r="I242" s="16"/>
    </row>
    <row r="243" spans="1:9" x14ac:dyDescent="0.35">
      <c r="A243" s="4" t="s">
        <v>53</v>
      </c>
      <c r="B243" s="13">
        <f>Изчисление!R59</f>
        <v>0</v>
      </c>
      <c r="C243" s="7" t="s">
        <v>143</v>
      </c>
      <c r="I243" s="16"/>
    </row>
    <row r="244" spans="1:9" x14ac:dyDescent="0.35">
      <c r="A244" s="4" t="s">
        <v>56</v>
      </c>
      <c r="B244" s="13">
        <f>Изчисление!R60</f>
        <v>0</v>
      </c>
      <c r="C244" s="7" t="s">
        <v>314</v>
      </c>
      <c r="I244" s="16"/>
    </row>
    <row r="245" spans="1:9" x14ac:dyDescent="0.35">
      <c r="A245" s="4" t="s">
        <v>59</v>
      </c>
      <c r="B245" s="13">
        <f>Изчисление!R61</f>
        <v>0</v>
      </c>
      <c r="C245" s="7" t="s">
        <v>308</v>
      </c>
      <c r="I245" s="16"/>
    </row>
    <row r="246" spans="1:9" x14ac:dyDescent="0.35">
      <c r="A246" s="4" t="s">
        <v>62</v>
      </c>
      <c r="B246" s="44">
        <f>Изчисление!R62</f>
        <v>29.5</v>
      </c>
      <c r="C246" s="7" t="s">
        <v>144</v>
      </c>
      <c r="I246" s="16"/>
    </row>
    <row r="247" spans="1:9" x14ac:dyDescent="0.35">
      <c r="A247" s="15"/>
      <c r="B247" s="139"/>
      <c r="I247" s="16"/>
    </row>
    <row r="248" spans="1:9" x14ac:dyDescent="0.35">
      <c r="A248" s="7" t="s">
        <v>243</v>
      </c>
      <c r="B248" s="135"/>
      <c r="I248" s="16"/>
    </row>
    <row r="249" spans="1:9" x14ac:dyDescent="0.35">
      <c r="B249" s="135"/>
      <c r="I249" s="16"/>
    </row>
    <row r="250" spans="1:9" x14ac:dyDescent="0.35">
      <c r="A250" s="29" t="s">
        <v>146</v>
      </c>
      <c r="B250" s="44">
        <f>Изчисление!R64</f>
        <v>29.5</v>
      </c>
      <c r="C250" s="7" t="s">
        <v>38</v>
      </c>
      <c r="I250" s="16"/>
    </row>
    <row r="251" spans="1:9" x14ac:dyDescent="0.35">
      <c r="B251" s="44">
        <f>Изчисление!R65</f>
        <v>106.2</v>
      </c>
      <c r="C251" s="7" t="s">
        <v>17</v>
      </c>
      <c r="I251" s="16"/>
    </row>
    <row r="252" spans="1:9" x14ac:dyDescent="0.35">
      <c r="B252" s="16"/>
      <c r="I252" s="16"/>
    </row>
    <row r="253" spans="1:9" x14ac:dyDescent="0.35">
      <c r="B253" s="16"/>
      <c r="I253" s="16"/>
    </row>
    <row r="254" spans="1:9" x14ac:dyDescent="0.35">
      <c r="A254" s="117" t="str">
        <f>Изчисление!L1</f>
        <v>За лек автомобил 2</v>
      </c>
      <c r="B254" s="16"/>
      <c r="D254" s="40"/>
      <c r="I254" s="16"/>
    </row>
    <row r="255" spans="1:9" x14ac:dyDescent="0.35">
      <c r="B255" s="16"/>
      <c r="I255" s="16"/>
    </row>
    <row r="256" spans="1:9" x14ac:dyDescent="0.35">
      <c r="I256" s="7" t="s">
        <v>164</v>
      </c>
    </row>
    <row r="258" spans="1:3" x14ac:dyDescent="0.35">
      <c r="A258" s="7" t="s">
        <v>128</v>
      </c>
    </row>
    <row r="259" spans="1:3" x14ac:dyDescent="0.35">
      <c r="A259" s="7" t="s">
        <v>106</v>
      </c>
    </row>
    <row r="260" spans="1:3" x14ac:dyDescent="0.35">
      <c r="A260" s="7" t="s">
        <v>129</v>
      </c>
    </row>
    <row r="261" spans="1:3" x14ac:dyDescent="0.35">
      <c r="A261" s="7" t="s">
        <v>130</v>
      </c>
    </row>
    <row r="262" spans="1:3" x14ac:dyDescent="0.35">
      <c r="A262" s="7" t="s">
        <v>307</v>
      </c>
    </row>
    <row r="265" spans="1:3" x14ac:dyDescent="0.35">
      <c r="A265" s="4" t="s">
        <v>44</v>
      </c>
      <c r="B265" s="17">
        <f>Изчисление!AA55</f>
        <v>0</v>
      </c>
      <c r="C265" s="7" t="s">
        <v>42</v>
      </c>
    </row>
    <row r="266" spans="1:3" ht="21" x14ac:dyDescent="0.4">
      <c r="A266" s="5" t="s">
        <v>46</v>
      </c>
      <c r="B266" s="17">
        <f>Изчисление!AA56</f>
        <v>0.7</v>
      </c>
      <c r="C266" s="7" t="s">
        <v>135</v>
      </c>
    </row>
    <row r="267" spans="1:3" x14ac:dyDescent="0.35">
      <c r="A267" s="5" t="s">
        <v>47</v>
      </c>
      <c r="B267" s="17">
        <f>Изчисление!AA57</f>
        <v>0</v>
      </c>
      <c r="C267" s="7" t="s">
        <v>109</v>
      </c>
    </row>
    <row r="268" spans="1:3" x14ac:dyDescent="0.35">
      <c r="A268" s="6" t="s">
        <v>52</v>
      </c>
      <c r="B268" s="13">
        <f>Изчисление!AA58</f>
        <v>6.87</v>
      </c>
      <c r="C268" s="7" t="s">
        <v>38</v>
      </c>
    </row>
    <row r="269" spans="1:3" x14ac:dyDescent="0.35">
      <c r="A269" s="4" t="s">
        <v>55</v>
      </c>
      <c r="B269" s="13">
        <f>Изчисление!AA59</f>
        <v>0</v>
      </c>
      <c r="C269" s="7" t="s">
        <v>143</v>
      </c>
    </row>
    <row r="270" spans="1:3" x14ac:dyDescent="0.35">
      <c r="A270" s="4" t="s">
        <v>58</v>
      </c>
      <c r="B270" s="13">
        <f>Изчисление!AA60</f>
        <v>0</v>
      </c>
      <c r="C270" s="7" t="s">
        <v>314</v>
      </c>
    </row>
    <row r="271" spans="1:3" x14ac:dyDescent="0.35">
      <c r="A271" s="4" t="s">
        <v>61</v>
      </c>
      <c r="B271" s="13">
        <f>Изчисление!AA61</f>
        <v>0</v>
      </c>
      <c r="C271" s="7" t="s">
        <v>308</v>
      </c>
    </row>
    <row r="272" spans="1:3" x14ac:dyDescent="0.35">
      <c r="A272" s="4" t="s">
        <v>151</v>
      </c>
      <c r="B272" s="44">
        <f>Изчисление!AA62</f>
        <v>33.200000000000003</v>
      </c>
      <c r="C272" s="7" t="s">
        <v>144</v>
      </c>
    </row>
    <row r="273" spans="1:9" x14ac:dyDescent="0.35">
      <c r="B273" s="135"/>
    </row>
    <row r="274" spans="1:9" x14ac:dyDescent="0.35">
      <c r="A274" s="7" t="s">
        <v>165</v>
      </c>
      <c r="B274" s="135"/>
    </row>
    <row r="275" spans="1:9" x14ac:dyDescent="0.35">
      <c r="B275" s="135"/>
    </row>
    <row r="276" spans="1:9" x14ac:dyDescent="0.35">
      <c r="A276" s="29" t="s">
        <v>131</v>
      </c>
      <c r="B276" s="131">
        <f>Изчисление!AA64</f>
        <v>33.200000000000003</v>
      </c>
      <c r="C276" s="7" t="s">
        <v>14</v>
      </c>
    </row>
    <row r="277" spans="1:9" x14ac:dyDescent="0.35">
      <c r="B277" s="131">
        <f>Изчисление!AA65</f>
        <v>119.5</v>
      </c>
      <c r="C277" s="7" t="s">
        <v>17</v>
      </c>
    </row>
    <row r="278" spans="1:9" x14ac:dyDescent="0.35">
      <c r="B278" s="16"/>
      <c r="I278" s="16"/>
    </row>
    <row r="279" spans="1:9" x14ac:dyDescent="0.35">
      <c r="B279" s="16"/>
      <c r="I279" s="16"/>
    </row>
    <row r="280" spans="1:9" x14ac:dyDescent="0.35">
      <c r="A280" s="116" t="s">
        <v>153</v>
      </c>
      <c r="B280" s="16"/>
      <c r="I280" s="16"/>
    </row>
    <row r="281" spans="1:9" x14ac:dyDescent="0.35">
      <c r="B281" s="16"/>
      <c r="I281" s="16"/>
    </row>
    <row r="282" spans="1:9" x14ac:dyDescent="0.35">
      <c r="B282" s="16"/>
      <c r="I282" s="16"/>
    </row>
    <row r="283" spans="1:9" x14ac:dyDescent="0.35">
      <c r="A283" s="117" t="str">
        <f>Изчисление!A1</f>
        <v>За лек автомобил 1</v>
      </c>
      <c r="B283" s="42"/>
      <c r="C283" s="39"/>
      <c r="D283" s="40"/>
      <c r="I283" s="16"/>
    </row>
    <row r="284" spans="1:9" x14ac:dyDescent="0.35">
      <c r="B284" s="16"/>
      <c r="I284" s="16"/>
    </row>
    <row r="285" spans="1:9" x14ac:dyDescent="0.35">
      <c r="B285" s="16"/>
      <c r="I285" s="16" t="s">
        <v>166</v>
      </c>
    </row>
    <row r="286" spans="1:9" x14ac:dyDescent="0.35">
      <c r="B286" s="16"/>
      <c r="I286" s="16"/>
    </row>
    <row r="287" spans="1:9" x14ac:dyDescent="0.35">
      <c r="B287" s="16"/>
      <c r="I287" s="16"/>
    </row>
    <row r="288" spans="1:9" x14ac:dyDescent="0.35">
      <c r="A288" s="7" t="s">
        <v>110</v>
      </c>
      <c r="B288" s="19"/>
      <c r="I288" s="16"/>
    </row>
    <row r="289" spans="1:9" x14ac:dyDescent="0.35">
      <c r="A289" s="20" t="s">
        <v>111</v>
      </c>
      <c r="B289" s="16"/>
      <c r="I289" s="16"/>
    </row>
    <row r="290" spans="1:9" x14ac:dyDescent="0.35">
      <c r="A290" s="20" t="s">
        <v>112</v>
      </c>
      <c r="B290" s="16"/>
      <c r="I290" s="16"/>
    </row>
    <row r="291" spans="1:9" x14ac:dyDescent="0.35">
      <c r="A291" s="20" t="s">
        <v>113</v>
      </c>
      <c r="B291" s="16"/>
      <c r="I291" s="16"/>
    </row>
    <row r="292" spans="1:9" x14ac:dyDescent="0.35">
      <c r="A292" s="7" t="s">
        <v>105</v>
      </c>
      <c r="B292" s="16"/>
      <c r="I292" s="16"/>
    </row>
    <row r="293" spans="1:9" x14ac:dyDescent="0.35">
      <c r="A293" s="7" t="s">
        <v>193</v>
      </c>
      <c r="B293" s="16"/>
      <c r="I293" s="16"/>
    </row>
    <row r="294" spans="1:9" x14ac:dyDescent="0.35">
      <c r="B294" s="16"/>
      <c r="I294" s="16"/>
    </row>
    <row r="295" spans="1:9" x14ac:dyDescent="0.35">
      <c r="A295" s="28" t="s">
        <v>114</v>
      </c>
      <c r="B295" s="17">
        <f>Изчисление!R77</f>
        <v>1</v>
      </c>
      <c r="C295" s="7" t="s">
        <v>42</v>
      </c>
      <c r="I295" s="16"/>
    </row>
    <row r="296" spans="1:9" x14ac:dyDescent="0.35">
      <c r="A296" s="28" t="s">
        <v>115</v>
      </c>
      <c r="B296" s="17">
        <f>Изчисление!R78</f>
        <v>0.2</v>
      </c>
      <c r="C296" s="7" t="s">
        <v>42</v>
      </c>
      <c r="I296" s="16"/>
    </row>
    <row r="297" spans="1:9" x14ac:dyDescent="0.35">
      <c r="A297" s="28" t="s">
        <v>116</v>
      </c>
      <c r="B297" s="17">
        <f>Изчисление!R79</f>
        <v>0</v>
      </c>
      <c r="C297" s="7" t="s">
        <v>42</v>
      </c>
      <c r="I297" s="16"/>
    </row>
    <row r="298" spans="1:9" x14ac:dyDescent="0.35">
      <c r="A298" s="28" t="s">
        <v>117</v>
      </c>
      <c r="B298" s="13">
        <f>Изчисление!R80</f>
        <v>6.87</v>
      </c>
      <c r="C298" s="7" t="s">
        <v>79</v>
      </c>
      <c r="I298" s="16"/>
    </row>
    <row r="299" spans="1:9" x14ac:dyDescent="0.35">
      <c r="A299" s="28" t="s">
        <v>118</v>
      </c>
      <c r="B299" s="44">
        <f>Изчисление!R81</f>
        <v>29.5</v>
      </c>
      <c r="C299" s="7" t="s">
        <v>79</v>
      </c>
      <c r="I299" s="16"/>
    </row>
    <row r="300" spans="1:9" x14ac:dyDescent="0.35">
      <c r="B300" s="16"/>
      <c r="I300" s="16"/>
    </row>
    <row r="301" spans="1:9" x14ac:dyDescent="0.35">
      <c r="A301" s="7" t="s">
        <v>165</v>
      </c>
      <c r="B301" s="16"/>
      <c r="I301" s="16"/>
    </row>
    <row r="302" spans="1:9" x14ac:dyDescent="0.35">
      <c r="B302" s="16"/>
      <c r="I302" s="16"/>
    </row>
    <row r="303" spans="1:9" x14ac:dyDescent="0.35">
      <c r="A303" s="33" t="s">
        <v>211</v>
      </c>
      <c r="B303" s="21">
        <f>Изчисление!R85</f>
        <v>98.74</v>
      </c>
      <c r="C303" s="7" t="s">
        <v>4</v>
      </c>
      <c r="I303" s="16"/>
    </row>
    <row r="304" spans="1:9" x14ac:dyDescent="0.35">
      <c r="B304" s="16"/>
      <c r="I304" s="16"/>
    </row>
    <row r="305" spans="1:9" x14ac:dyDescent="0.35">
      <c r="B305" s="16"/>
      <c r="I305" s="16"/>
    </row>
    <row r="307" spans="1:9" x14ac:dyDescent="0.35">
      <c r="A307" s="118" t="str">
        <f>Изчисление!L1</f>
        <v>За лек автомобил 2</v>
      </c>
      <c r="B307" s="40"/>
      <c r="C307" s="40"/>
      <c r="D307" s="40"/>
    </row>
    <row r="309" spans="1:9" x14ac:dyDescent="0.35">
      <c r="I309" s="7" t="s">
        <v>168</v>
      </c>
    </row>
    <row r="311" spans="1:9" x14ac:dyDescent="0.35">
      <c r="A311" s="7" t="s">
        <v>156</v>
      </c>
    </row>
    <row r="312" spans="1:9" x14ac:dyDescent="0.35">
      <c r="A312" s="20" t="s">
        <v>111</v>
      </c>
    </row>
    <row r="313" spans="1:9" x14ac:dyDescent="0.35">
      <c r="A313" s="20" t="s">
        <v>112</v>
      </c>
    </row>
    <row r="314" spans="1:9" x14ac:dyDescent="0.35">
      <c r="A314" s="20" t="s">
        <v>113</v>
      </c>
    </row>
    <row r="315" spans="1:9" x14ac:dyDescent="0.35">
      <c r="A315" s="7" t="s">
        <v>128</v>
      </c>
    </row>
    <row r="316" spans="1:9" x14ac:dyDescent="0.35">
      <c r="A316" s="7" t="s">
        <v>129</v>
      </c>
    </row>
    <row r="318" spans="1:9" x14ac:dyDescent="0.35">
      <c r="A318" s="28" t="s">
        <v>114</v>
      </c>
      <c r="B318" s="17">
        <f>Изчисление!AA77</f>
        <v>1</v>
      </c>
      <c r="C318" s="7" t="s">
        <v>42</v>
      </c>
    </row>
    <row r="319" spans="1:9" x14ac:dyDescent="0.35">
      <c r="A319" s="28" t="s">
        <v>115</v>
      </c>
      <c r="B319" s="17">
        <f>Изчисление!AA78</f>
        <v>0.2</v>
      </c>
      <c r="C319" s="7" t="s">
        <v>42</v>
      </c>
    </row>
    <row r="320" spans="1:9" x14ac:dyDescent="0.35">
      <c r="A320" s="28" t="s">
        <v>116</v>
      </c>
      <c r="B320" s="17">
        <f>Изчисление!AA79</f>
        <v>0</v>
      </c>
      <c r="C320" s="7" t="s">
        <v>42</v>
      </c>
    </row>
    <row r="321" spans="1:10" x14ac:dyDescent="0.35">
      <c r="A321" s="28" t="s">
        <v>117</v>
      </c>
      <c r="B321" s="13">
        <f>Изчисление!AA80</f>
        <v>6.87</v>
      </c>
      <c r="C321" s="7" t="s">
        <v>79</v>
      </c>
    </row>
    <row r="322" spans="1:10" x14ac:dyDescent="0.35">
      <c r="A322" s="28" t="s">
        <v>118</v>
      </c>
      <c r="B322" s="44">
        <f>Изчисление!AA81</f>
        <v>33.200000000000003</v>
      </c>
      <c r="C322" s="7" t="s">
        <v>79</v>
      </c>
    </row>
    <row r="323" spans="1:10" x14ac:dyDescent="0.35">
      <c r="A323" s="15"/>
      <c r="B323" s="16"/>
    </row>
    <row r="324" spans="1:10" x14ac:dyDescent="0.35">
      <c r="A324" s="7" t="s">
        <v>167</v>
      </c>
      <c r="B324" s="16"/>
    </row>
    <row r="325" spans="1:10" x14ac:dyDescent="0.35">
      <c r="I325" s="8"/>
      <c r="J325" s="8"/>
    </row>
    <row r="326" spans="1:10" x14ac:dyDescent="0.35">
      <c r="A326" s="33" t="s">
        <v>212</v>
      </c>
      <c r="B326" s="34">
        <f>Изчисление!AA85</f>
        <v>120.06</v>
      </c>
      <c r="C326" s="7" t="s">
        <v>4</v>
      </c>
    </row>
    <row r="330" spans="1:10" x14ac:dyDescent="0.35">
      <c r="A330" s="116" t="s">
        <v>84</v>
      </c>
    </row>
    <row r="332" spans="1:10" x14ac:dyDescent="0.35">
      <c r="A332" s="118" t="str">
        <f>Изчисление!A1</f>
        <v>За лек автомобил 1</v>
      </c>
      <c r="B332" s="40"/>
      <c r="C332" s="40"/>
      <c r="D332" s="40"/>
    </row>
    <row r="334" spans="1:10" x14ac:dyDescent="0.35">
      <c r="I334" s="7" t="s">
        <v>178</v>
      </c>
    </row>
    <row r="337" spans="1:3" x14ac:dyDescent="0.35">
      <c r="A337" s="7" t="s">
        <v>171</v>
      </c>
    </row>
    <row r="338" spans="1:3" x14ac:dyDescent="0.35">
      <c r="A338" s="20" t="s">
        <v>111</v>
      </c>
    </row>
    <row r="339" spans="1:3" x14ac:dyDescent="0.35">
      <c r="A339" s="20" t="s">
        <v>112</v>
      </c>
    </row>
    <row r="340" spans="1:3" x14ac:dyDescent="0.35">
      <c r="A340" s="20" t="s">
        <v>113</v>
      </c>
    </row>
    <row r="341" spans="1:3" x14ac:dyDescent="0.35">
      <c r="A341" s="7" t="s">
        <v>311</v>
      </c>
    </row>
    <row r="342" spans="1:3" x14ac:dyDescent="0.35">
      <c r="A342" s="7" t="s">
        <v>315</v>
      </c>
    </row>
    <row r="343" spans="1:3" x14ac:dyDescent="0.35">
      <c r="A343" s="7" t="s">
        <v>172</v>
      </c>
    </row>
    <row r="345" spans="1:3" x14ac:dyDescent="0.35">
      <c r="A345" s="28" t="s">
        <v>114</v>
      </c>
      <c r="B345" s="17">
        <f>Изчисление!R77</f>
        <v>1</v>
      </c>
      <c r="C345" s="7" t="s">
        <v>42</v>
      </c>
    </row>
    <row r="346" spans="1:3" x14ac:dyDescent="0.35">
      <c r="A346" s="28" t="s">
        <v>115</v>
      </c>
      <c r="B346" s="17">
        <f>Изчисление!R78</f>
        <v>0.2</v>
      </c>
      <c r="C346" s="7" t="s">
        <v>42</v>
      </c>
    </row>
    <row r="347" spans="1:3" x14ac:dyDescent="0.35">
      <c r="A347" s="28" t="s">
        <v>116</v>
      </c>
      <c r="B347" s="17">
        <f>Изчисление!R79</f>
        <v>0</v>
      </c>
      <c r="C347" s="7" t="s">
        <v>42</v>
      </c>
    </row>
    <row r="348" spans="1:3" x14ac:dyDescent="0.35">
      <c r="A348" s="28" t="s">
        <v>117</v>
      </c>
      <c r="B348" s="13">
        <f>Изчисление!R80</f>
        <v>6.87</v>
      </c>
      <c r="C348" s="7" t="s">
        <v>79</v>
      </c>
    </row>
    <row r="349" spans="1:3" x14ac:dyDescent="0.35">
      <c r="A349" s="28" t="s">
        <v>173</v>
      </c>
      <c r="B349" s="44">
        <f>Изчисление!R64</f>
        <v>29.5</v>
      </c>
      <c r="C349" s="7" t="s">
        <v>14</v>
      </c>
    </row>
    <row r="350" spans="1:3" x14ac:dyDescent="0.35">
      <c r="A350" s="28" t="s">
        <v>174</v>
      </c>
      <c r="B350" s="44">
        <f>Изчисление!R30</f>
        <v>29.5</v>
      </c>
      <c r="C350" s="7" t="s">
        <v>14</v>
      </c>
    </row>
    <row r="352" spans="1:3" x14ac:dyDescent="0.35">
      <c r="A352" s="7" t="s">
        <v>169</v>
      </c>
    </row>
    <row r="354" spans="1:13" x14ac:dyDescent="0.35">
      <c r="A354" s="2" t="s">
        <v>209</v>
      </c>
      <c r="B354" s="3">
        <f>Изчисление!R94</f>
        <v>1.2</v>
      </c>
      <c r="C354" s="7" t="s">
        <v>170</v>
      </c>
    </row>
    <row r="357" spans="1:13" x14ac:dyDescent="0.35">
      <c r="A357" s="118" t="str">
        <f>Изчисление!L1</f>
        <v>За лек автомобил 2</v>
      </c>
      <c r="B357" s="40"/>
      <c r="C357" s="40"/>
      <c r="D357" s="40"/>
    </row>
    <row r="359" spans="1:13" x14ac:dyDescent="0.35">
      <c r="I359" s="7" t="s">
        <v>183</v>
      </c>
    </row>
    <row r="361" spans="1:13" x14ac:dyDescent="0.35">
      <c r="K361" s="12"/>
      <c r="L361" s="12"/>
      <c r="M361" s="12"/>
    </row>
    <row r="362" spans="1:13" x14ac:dyDescent="0.35">
      <c r="A362" s="7" t="s">
        <v>179</v>
      </c>
    </row>
    <row r="363" spans="1:13" x14ac:dyDescent="0.35">
      <c r="A363" s="20" t="s">
        <v>111</v>
      </c>
    </row>
    <row r="364" spans="1:13" x14ac:dyDescent="0.35">
      <c r="A364" s="20" t="s">
        <v>112</v>
      </c>
    </row>
    <row r="365" spans="1:13" x14ac:dyDescent="0.35">
      <c r="A365" s="20" t="s">
        <v>113</v>
      </c>
    </row>
    <row r="366" spans="1:13" x14ac:dyDescent="0.35">
      <c r="A366" s="7" t="s">
        <v>309</v>
      </c>
      <c r="K366" s="8"/>
      <c r="M366" s="8"/>
    </row>
    <row r="367" spans="1:13" x14ac:dyDescent="0.35">
      <c r="A367" s="7" t="s">
        <v>310</v>
      </c>
    </row>
    <row r="368" spans="1:13" x14ac:dyDescent="0.35">
      <c r="A368" s="7" t="s">
        <v>180</v>
      </c>
    </row>
    <row r="371" spans="1:3" x14ac:dyDescent="0.35">
      <c r="A371" s="28" t="s">
        <v>114</v>
      </c>
      <c r="B371" s="17">
        <f>Изчисление!AA77</f>
        <v>1</v>
      </c>
      <c r="C371" s="7" t="s">
        <v>42</v>
      </c>
    </row>
    <row r="372" spans="1:3" x14ac:dyDescent="0.35">
      <c r="A372" s="28" t="s">
        <v>115</v>
      </c>
      <c r="B372" s="17">
        <f>Изчисление!AA78</f>
        <v>0.2</v>
      </c>
      <c r="C372" s="7" t="s">
        <v>42</v>
      </c>
    </row>
    <row r="373" spans="1:3" x14ac:dyDescent="0.35">
      <c r="A373" s="28" t="s">
        <v>116</v>
      </c>
      <c r="B373" s="17">
        <f>Изчисление!AA79</f>
        <v>0</v>
      </c>
      <c r="C373" s="7" t="s">
        <v>42</v>
      </c>
    </row>
    <row r="374" spans="1:3" x14ac:dyDescent="0.35">
      <c r="A374" s="28" t="s">
        <v>117</v>
      </c>
      <c r="B374" s="13">
        <f>Изчисление!AA80</f>
        <v>6.87</v>
      </c>
      <c r="C374" s="7" t="s">
        <v>79</v>
      </c>
    </row>
    <row r="375" spans="1:3" x14ac:dyDescent="0.35">
      <c r="A375" s="28" t="s">
        <v>247</v>
      </c>
      <c r="B375" s="44">
        <f>Изчисление!AA64</f>
        <v>33.200000000000003</v>
      </c>
      <c r="C375" s="7" t="s">
        <v>14</v>
      </c>
    </row>
    <row r="376" spans="1:3" x14ac:dyDescent="0.35">
      <c r="A376" s="28" t="s">
        <v>246</v>
      </c>
      <c r="B376" s="44">
        <f>Изчисление!Z30</f>
        <v>33.200000000000003</v>
      </c>
      <c r="C376" s="7" t="s">
        <v>14</v>
      </c>
    </row>
    <row r="378" spans="1:3" x14ac:dyDescent="0.35">
      <c r="A378" s="7" t="s">
        <v>181</v>
      </c>
    </row>
    <row r="380" spans="1:3" x14ac:dyDescent="0.35">
      <c r="A380" s="2" t="s">
        <v>210</v>
      </c>
      <c r="B380" s="3">
        <f>Изчисление!AA94</f>
        <v>1.2</v>
      </c>
      <c r="C380" s="7" t="s">
        <v>170</v>
      </c>
    </row>
    <row r="384" spans="1:3" x14ac:dyDescent="0.35">
      <c r="A384" s="116" t="s">
        <v>182</v>
      </c>
    </row>
    <row r="386" spans="1:9" x14ac:dyDescent="0.35">
      <c r="A386" s="118" t="str">
        <f>Изчисление!A1</f>
        <v>За лек автомобил 1</v>
      </c>
      <c r="B386" s="40"/>
      <c r="C386" s="40"/>
      <c r="D386" s="40"/>
    </row>
    <row r="388" spans="1:9" x14ac:dyDescent="0.35">
      <c r="I388" s="7" t="s">
        <v>195</v>
      </c>
    </row>
    <row r="391" spans="1:9" x14ac:dyDescent="0.35">
      <c r="A391" s="7" t="s">
        <v>186</v>
      </c>
    </row>
    <row r="392" spans="1:9" x14ac:dyDescent="0.35">
      <c r="A392" s="20" t="s">
        <v>111</v>
      </c>
    </row>
    <row r="393" spans="1:9" x14ac:dyDescent="0.35">
      <c r="A393" s="20" t="s">
        <v>112</v>
      </c>
    </row>
    <row r="394" spans="1:9" x14ac:dyDescent="0.35">
      <c r="A394" s="20" t="s">
        <v>113</v>
      </c>
    </row>
    <row r="395" spans="1:9" x14ac:dyDescent="0.35">
      <c r="A395" s="7" t="s">
        <v>311</v>
      </c>
    </row>
    <row r="396" spans="1:9" x14ac:dyDescent="0.35">
      <c r="A396" s="7" t="s">
        <v>312</v>
      </c>
    </row>
    <row r="398" spans="1:9" x14ac:dyDescent="0.35">
      <c r="A398" s="27" t="s">
        <v>114</v>
      </c>
      <c r="B398" s="17">
        <f>Изчисление!R77</f>
        <v>1</v>
      </c>
      <c r="C398" s="7" t="s">
        <v>42</v>
      </c>
    </row>
    <row r="399" spans="1:9" x14ac:dyDescent="0.35">
      <c r="A399" s="27" t="s">
        <v>115</v>
      </c>
      <c r="B399" s="17">
        <f>Изчисление!R78</f>
        <v>0.2</v>
      </c>
      <c r="C399" s="7" t="s">
        <v>42</v>
      </c>
    </row>
    <row r="400" spans="1:9" x14ac:dyDescent="0.35">
      <c r="A400" s="27" t="s">
        <v>116</v>
      </c>
      <c r="B400" s="17">
        <f>Изчисление!R79</f>
        <v>0</v>
      </c>
      <c r="C400" s="7" t="s">
        <v>42</v>
      </c>
    </row>
    <row r="401" spans="1:12" x14ac:dyDescent="0.35">
      <c r="A401" s="27" t="s">
        <v>173</v>
      </c>
      <c r="B401" s="44">
        <f>Изчисление!R64</f>
        <v>29.5</v>
      </c>
      <c r="C401" s="7" t="s">
        <v>14</v>
      </c>
    </row>
    <row r="402" spans="1:12" x14ac:dyDescent="0.35">
      <c r="A402" s="27" t="s">
        <v>190</v>
      </c>
      <c r="B402" s="13">
        <f>Изчисление!R61</f>
        <v>0</v>
      </c>
      <c r="C402" s="7" t="s">
        <v>14</v>
      </c>
    </row>
    <row r="405" spans="1:12" x14ac:dyDescent="0.35">
      <c r="A405" s="7" t="s">
        <v>184</v>
      </c>
      <c r="L405" s="25"/>
    </row>
    <row r="407" spans="1:12" x14ac:dyDescent="0.35">
      <c r="A407" s="37" t="s">
        <v>187</v>
      </c>
      <c r="B407" s="24">
        <f>Изчисление!R105</f>
        <v>35.4</v>
      </c>
      <c r="C407" s="7" t="s">
        <v>4</v>
      </c>
    </row>
    <row r="411" spans="1:12" x14ac:dyDescent="0.35">
      <c r="A411" s="117" t="str">
        <f>Изчисление!L1</f>
        <v>За лек автомобил 2</v>
      </c>
      <c r="B411" s="39"/>
      <c r="C411" s="39"/>
      <c r="D411" s="40"/>
    </row>
    <row r="413" spans="1:12" x14ac:dyDescent="0.35">
      <c r="I413" s="7" t="s">
        <v>200</v>
      </c>
    </row>
    <row r="415" spans="1:12" x14ac:dyDescent="0.35">
      <c r="A415" s="7" t="s">
        <v>188</v>
      </c>
    </row>
    <row r="416" spans="1:12" x14ac:dyDescent="0.35">
      <c r="A416" s="20" t="s">
        <v>111</v>
      </c>
    </row>
    <row r="417" spans="1:3" x14ac:dyDescent="0.35">
      <c r="A417" s="20" t="s">
        <v>112</v>
      </c>
    </row>
    <row r="418" spans="1:3" x14ac:dyDescent="0.35">
      <c r="A418" s="20" t="s">
        <v>113</v>
      </c>
    </row>
    <row r="419" spans="1:3" x14ac:dyDescent="0.35">
      <c r="A419" s="7" t="s">
        <v>309</v>
      </c>
    </row>
    <row r="420" spans="1:3" x14ac:dyDescent="0.35">
      <c r="A420" s="7" t="s">
        <v>313</v>
      </c>
    </row>
    <row r="422" spans="1:3" x14ac:dyDescent="0.35">
      <c r="A422" s="27" t="s">
        <v>114</v>
      </c>
      <c r="B422" s="17">
        <f>Изчисление!AA77</f>
        <v>1</v>
      </c>
      <c r="C422" s="7" t="s">
        <v>42</v>
      </c>
    </row>
    <row r="423" spans="1:3" x14ac:dyDescent="0.35">
      <c r="A423" s="27" t="s">
        <v>115</v>
      </c>
      <c r="B423" s="17">
        <f>Изчисление!AA78</f>
        <v>0.2</v>
      </c>
      <c r="C423" s="7" t="s">
        <v>42</v>
      </c>
    </row>
    <row r="424" spans="1:3" x14ac:dyDescent="0.35">
      <c r="A424" s="27" t="s">
        <v>116</v>
      </c>
      <c r="B424" s="17">
        <f>Изчисление!AA79</f>
        <v>0</v>
      </c>
      <c r="C424" s="7" t="s">
        <v>42</v>
      </c>
    </row>
    <row r="425" spans="1:3" x14ac:dyDescent="0.35">
      <c r="A425" s="27" t="s">
        <v>248</v>
      </c>
      <c r="B425" s="44">
        <f>Изчисление!AA64</f>
        <v>33.200000000000003</v>
      </c>
      <c r="C425" s="7" t="s">
        <v>14</v>
      </c>
    </row>
    <row r="426" spans="1:3" x14ac:dyDescent="0.35">
      <c r="A426" s="27" t="s">
        <v>189</v>
      </c>
      <c r="B426" s="13">
        <f>Изчисление!AA61</f>
        <v>0</v>
      </c>
      <c r="C426" s="7" t="s">
        <v>14</v>
      </c>
    </row>
    <row r="429" spans="1:3" x14ac:dyDescent="0.35">
      <c r="A429" s="7" t="s">
        <v>184</v>
      </c>
    </row>
    <row r="431" spans="1:3" x14ac:dyDescent="0.35">
      <c r="A431" s="37" t="s">
        <v>185</v>
      </c>
      <c r="B431" s="24">
        <v>30.96</v>
      </c>
      <c r="C431" s="7" t="s">
        <v>4</v>
      </c>
    </row>
    <row r="434" spans="1:9" x14ac:dyDescent="0.35">
      <c r="A434" s="116" t="s">
        <v>192</v>
      </c>
    </row>
    <row r="436" spans="1:9" x14ac:dyDescent="0.35">
      <c r="A436" s="117" t="str">
        <f>Изчисление!A1</f>
        <v>За лек автомобил 1</v>
      </c>
      <c r="B436" s="39"/>
      <c r="C436" s="39"/>
      <c r="D436" s="40"/>
    </row>
    <row r="438" spans="1:9" x14ac:dyDescent="0.35">
      <c r="I438" s="7" t="s">
        <v>244</v>
      </c>
    </row>
    <row r="440" spans="1:9" x14ac:dyDescent="0.35">
      <c r="A440" s="7" t="s">
        <v>194</v>
      </c>
    </row>
    <row r="441" spans="1:9" x14ac:dyDescent="0.35">
      <c r="A441" s="20" t="s">
        <v>111</v>
      </c>
    </row>
    <row r="442" spans="1:9" x14ac:dyDescent="0.35">
      <c r="A442" s="20" t="s">
        <v>112</v>
      </c>
    </row>
    <row r="443" spans="1:9" x14ac:dyDescent="0.35">
      <c r="A443" s="20" t="s">
        <v>113</v>
      </c>
    </row>
    <row r="444" spans="1:9" x14ac:dyDescent="0.35">
      <c r="A444" s="7" t="s">
        <v>186</v>
      </c>
    </row>
    <row r="445" spans="1:9" x14ac:dyDescent="0.35">
      <c r="A445" s="7" t="s">
        <v>312</v>
      </c>
    </row>
    <row r="446" spans="1:9" x14ac:dyDescent="0.35">
      <c r="A446" s="7" t="s">
        <v>107</v>
      </c>
    </row>
    <row r="448" spans="1:9" x14ac:dyDescent="0.35">
      <c r="A448" s="27" t="s">
        <v>114</v>
      </c>
      <c r="B448" s="17">
        <f>Изчисление!R77</f>
        <v>1</v>
      </c>
      <c r="C448" s="7" t="s">
        <v>42</v>
      </c>
    </row>
    <row r="449" spans="1:9" x14ac:dyDescent="0.35">
      <c r="A449" s="27" t="s">
        <v>115</v>
      </c>
      <c r="B449" s="17">
        <f>Изчисление!R78</f>
        <v>0.2</v>
      </c>
      <c r="C449" s="7" t="s">
        <v>42</v>
      </c>
    </row>
    <row r="450" spans="1:9" x14ac:dyDescent="0.35">
      <c r="A450" s="27" t="s">
        <v>116</v>
      </c>
      <c r="B450" s="17">
        <f>Изчисление!R79</f>
        <v>0</v>
      </c>
      <c r="C450" s="7" t="s">
        <v>42</v>
      </c>
    </row>
    <row r="451" spans="1:9" x14ac:dyDescent="0.35">
      <c r="A451" s="27" t="s">
        <v>117</v>
      </c>
      <c r="B451" s="13">
        <f>Изчисление!R80</f>
        <v>6.87</v>
      </c>
      <c r="C451" s="7" t="s">
        <v>79</v>
      </c>
    </row>
    <row r="452" spans="1:9" x14ac:dyDescent="0.35">
      <c r="A452" s="27" t="s">
        <v>185</v>
      </c>
      <c r="B452" s="24">
        <f>Изчисление!R105</f>
        <v>35.4</v>
      </c>
      <c r="C452" s="7" t="s">
        <v>4</v>
      </c>
    </row>
    <row r="454" spans="1:9" x14ac:dyDescent="0.35">
      <c r="A454" s="7" t="s">
        <v>196</v>
      </c>
    </row>
    <row r="456" spans="1:9" x14ac:dyDescent="0.35">
      <c r="A456" s="36" t="s">
        <v>197</v>
      </c>
      <c r="B456" s="131">
        <f>Изчисление!R123</f>
        <v>15</v>
      </c>
      <c r="C456" s="7" t="s">
        <v>14</v>
      </c>
    </row>
    <row r="457" spans="1:9" x14ac:dyDescent="0.35">
      <c r="B457" s="131">
        <f>Изчисление!R124</f>
        <v>54</v>
      </c>
      <c r="C457" s="7" t="s">
        <v>17</v>
      </c>
    </row>
    <row r="458" spans="1:9" x14ac:dyDescent="0.35">
      <c r="B458" s="16"/>
    </row>
    <row r="459" spans="1:9" x14ac:dyDescent="0.35">
      <c r="B459" s="16"/>
    </row>
    <row r="460" spans="1:9" x14ac:dyDescent="0.35">
      <c r="A460" s="118" t="str">
        <f>Изчисление!L1</f>
        <v>За лек автомобил 2</v>
      </c>
      <c r="B460" s="47"/>
      <c r="C460" s="47"/>
      <c r="D460" s="40"/>
    </row>
    <row r="463" spans="1:9" x14ac:dyDescent="0.35">
      <c r="I463" s="7" t="s">
        <v>245</v>
      </c>
    </row>
    <row r="465" spans="1:3" x14ac:dyDescent="0.35">
      <c r="A465" s="7" t="s">
        <v>198</v>
      </c>
    </row>
    <row r="466" spans="1:3" x14ac:dyDescent="0.35">
      <c r="A466" s="20" t="s">
        <v>111</v>
      </c>
    </row>
    <row r="467" spans="1:3" x14ac:dyDescent="0.35">
      <c r="A467" s="20" t="s">
        <v>112</v>
      </c>
    </row>
    <row r="468" spans="1:3" x14ac:dyDescent="0.35">
      <c r="A468" s="20" t="s">
        <v>113</v>
      </c>
    </row>
    <row r="469" spans="1:3" x14ac:dyDescent="0.35">
      <c r="A469" s="7" t="s">
        <v>188</v>
      </c>
    </row>
    <row r="470" spans="1:3" x14ac:dyDescent="0.35">
      <c r="A470" s="7" t="s">
        <v>313</v>
      </c>
    </row>
    <row r="471" spans="1:3" x14ac:dyDescent="0.35">
      <c r="A471" s="7" t="s">
        <v>199</v>
      </c>
    </row>
    <row r="473" spans="1:3" x14ac:dyDescent="0.35">
      <c r="A473" s="27" t="s">
        <v>114</v>
      </c>
      <c r="B473" s="17">
        <f>Изчисление!AA77</f>
        <v>1</v>
      </c>
      <c r="C473" s="7" t="s">
        <v>42</v>
      </c>
    </row>
    <row r="474" spans="1:3" x14ac:dyDescent="0.35">
      <c r="A474" s="27" t="s">
        <v>115</v>
      </c>
      <c r="B474" s="17">
        <f>Изчисление!AA78</f>
        <v>0.2</v>
      </c>
      <c r="C474" s="7" t="s">
        <v>42</v>
      </c>
    </row>
    <row r="475" spans="1:3" x14ac:dyDescent="0.35">
      <c r="A475" s="27" t="s">
        <v>116</v>
      </c>
      <c r="B475" s="13">
        <f>Изчисление!AA79</f>
        <v>0</v>
      </c>
      <c r="C475" s="7" t="s">
        <v>42</v>
      </c>
    </row>
    <row r="476" spans="1:3" x14ac:dyDescent="0.35">
      <c r="A476" s="27" t="s">
        <v>117</v>
      </c>
      <c r="B476" s="13">
        <f>Изчисление!AA80</f>
        <v>6.87</v>
      </c>
      <c r="C476" s="7" t="s">
        <v>79</v>
      </c>
    </row>
    <row r="477" spans="1:3" x14ac:dyDescent="0.35">
      <c r="A477" s="27" t="s">
        <v>202</v>
      </c>
      <c r="B477" s="24">
        <f>Изчисление!AA105</f>
        <v>39.840000000000003</v>
      </c>
      <c r="C477" s="7" t="s">
        <v>4</v>
      </c>
    </row>
    <row r="480" spans="1:3" x14ac:dyDescent="0.35">
      <c r="A480" s="7" t="s">
        <v>196</v>
      </c>
    </row>
    <row r="482" spans="1:3" x14ac:dyDescent="0.35">
      <c r="A482" s="36" t="s">
        <v>201</v>
      </c>
      <c r="B482" s="131">
        <f>Изчисление!AA123</f>
        <v>16.3</v>
      </c>
      <c r="C482" s="7" t="s">
        <v>14</v>
      </c>
    </row>
    <row r="483" spans="1:3" x14ac:dyDescent="0.35">
      <c r="B483" s="131">
        <f>Изчисление!AA124</f>
        <v>58.7</v>
      </c>
      <c r="C483" s="7" t="s">
        <v>17</v>
      </c>
    </row>
  </sheetData>
  <mergeCells count="82">
    <mergeCell ref="B201:D201"/>
    <mergeCell ref="B202:D202"/>
    <mergeCell ref="B203:D203"/>
    <mergeCell ref="B204:D204"/>
    <mergeCell ref="B195:D195"/>
    <mergeCell ref="B196:D196"/>
    <mergeCell ref="B197:D197"/>
    <mergeCell ref="B198:D198"/>
    <mergeCell ref="B199:D199"/>
    <mergeCell ref="B200:D200"/>
    <mergeCell ref="B189:D189"/>
    <mergeCell ref="E189:G189"/>
    <mergeCell ref="B190:D190"/>
    <mergeCell ref="E190:G190"/>
    <mergeCell ref="B191:D191"/>
    <mergeCell ref="E191:G191"/>
    <mergeCell ref="B185:D185"/>
    <mergeCell ref="E185:G185"/>
    <mergeCell ref="B186:D186"/>
    <mergeCell ref="E186:G186"/>
    <mergeCell ref="B187:D187"/>
    <mergeCell ref="E187:G187"/>
    <mergeCell ref="B181:D181"/>
    <mergeCell ref="E181:G181"/>
    <mergeCell ref="B182:D182"/>
    <mergeCell ref="E182:G182"/>
    <mergeCell ref="B183:D183"/>
    <mergeCell ref="E183:G183"/>
    <mergeCell ref="B174:D174"/>
    <mergeCell ref="E174:G174"/>
    <mergeCell ref="B175:D175"/>
    <mergeCell ref="E175:G175"/>
    <mergeCell ref="B176:D176"/>
    <mergeCell ref="E176:G176"/>
    <mergeCell ref="B170:D170"/>
    <mergeCell ref="E170:G170"/>
    <mergeCell ref="B171:D171"/>
    <mergeCell ref="E171:G171"/>
    <mergeCell ref="B172:D172"/>
    <mergeCell ref="E172:G172"/>
    <mergeCell ref="B166:D166"/>
    <mergeCell ref="E166:G166"/>
    <mergeCell ref="B167:D167"/>
    <mergeCell ref="E167:G167"/>
    <mergeCell ref="B168:D168"/>
    <mergeCell ref="E168:G168"/>
    <mergeCell ref="B159:D159"/>
    <mergeCell ref="E159:G159"/>
    <mergeCell ref="B160:D160"/>
    <mergeCell ref="E160:G160"/>
    <mergeCell ref="B161:D161"/>
    <mergeCell ref="E161:G161"/>
    <mergeCell ref="B155:D155"/>
    <mergeCell ref="E155:G155"/>
    <mergeCell ref="B156:D156"/>
    <mergeCell ref="E156:G156"/>
    <mergeCell ref="B157:D157"/>
    <mergeCell ref="E157:G157"/>
    <mergeCell ref="B151:D151"/>
    <mergeCell ref="E151:G151"/>
    <mergeCell ref="B152:D152"/>
    <mergeCell ref="E152:G152"/>
    <mergeCell ref="B153:D153"/>
    <mergeCell ref="E153:G153"/>
    <mergeCell ref="B145:D145"/>
    <mergeCell ref="E145:G145"/>
    <mergeCell ref="B146:D146"/>
    <mergeCell ref="E146:G146"/>
    <mergeCell ref="B147:D147"/>
    <mergeCell ref="E147:G147"/>
    <mergeCell ref="B141:D141"/>
    <mergeCell ref="E141:G141"/>
    <mergeCell ref="B142:D142"/>
    <mergeCell ref="E142:G142"/>
    <mergeCell ref="B143:D143"/>
    <mergeCell ref="E143:G143"/>
    <mergeCell ref="B137:D137"/>
    <mergeCell ref="E137:G137"/>
    <mergeCell ref="B138:D138"/>
    <mergeCell ref="E138:G138"/>
    <mergeCell ref="B139:D139"/>
    <mergeCell ref="E139:G139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3073" r:id="rId3">
          <objectPr defaultSize="0" r:id="rId4">
            <anchor moveWithCells="1">
              <from>
                <xdr:col>0</xdr:col>
                <xdr:colOff>68580</xdr:colOff>
                <xdr:row>283</xdr:row>
                <xdr:rowOff>144780</xdr:rowOff>
              </from>
              <to>
                <xdr:col>4</xdr:col>
                <xdr:colOff>83820</xdr:colOff>
                <xdr:row>285</xdr:row>
                <xdr:rowOff>182880</xdr:rowOff>
              </to>
            </anchor>
          </objectPr>
        </oleObject>
      </mc:Choice>
      <mc:Fallback>
        <oleObject progId="Equation.3" shapeId="3073" r:id="rId3"/>
      </mc:Fallback>
    </mc:AlternateContent>
    <mc:AlternateContent xmlns:mc="http://schemas.openxmlformats.org/markup-compatibility/2006">
      <mc:Choice Requires="x14">
        <oleObject progId="Equation.3" shapeId="3074" r:id="rId5">
          <objectPr defaultSize="0" autoPict="0" r:id="rId6">
            <anchor moveWithCells="1">
              <from>
                <xdr:col>0</xdr:col>
                <xdr:colOff>45720</xdr:colOff>
                <xdr:row>31</xdr:row>
                <xdr:rowOff>137160</xdr:rowOff>
              </from>
              <to>
                <xdr:col>5</xdr:col>
                <xdr:colOff>457200</xdr:colOff>
                <xdr:row>33</xdr:row>
                <xdr:rowOff>45720</xdr:rowOff>
              </to>
            </anchor>
          </objectPr>
        </oleObject>
      </mc:Choice>
      <mc:Fallback>
        <oleObject progId="Equation.3" shapeId="3074" r:id="rId5"/>
      </mc:Fallback>
    </mc:AlternateContent>
    <mc:AlternateContent xmlns:mc="http://schemas.openxmlformats.org/markup-compatibility/2006">
      <mc:Choice Requires="x14">
        <oleObject progId="Equation.3" shapeId="3075" r:id="rId7">
          <objectPr defaultSize="0" autoPict="0" r:id="rId8">
            <anchor moveWithCells="1">
              <from>
                <xdr:col>1</xdr:col>
                <xdr:colOff>99060</xdr:colOff>
                <xdr:row>9</xdr:row>
                <xdr:rowOff>99060</xdr:rowOff>
              </from>
              <to>
                <xdr:col>5</xdr:col>
                <xdr:colOff>213360</xdr:colOff>
                <xdr:row>10</xdr:row>
                <xdr:rowOff>137160</xdr:rowOff>
              </to>
            </anchor>
          </objectPr>
        </oleObject>
      </mc:Choice>
      <mc:Fallback>
        <oleObject progId="Equation.3" shapeId="3075" r:id="rId7"/>
      </mc:Fallback>
    </mc:AlternateContent>
    <mc:AlternateContent xmlns:mc="http://schemas.openxmlformats.org/markup-compatibility/2006">
      <mc:Choice Requires="x14">
        <oleObject progId="Equation.3" shapeId="3076" r:id="rId9">
          <objectPr defaultSize="0" autoPict="0" r:id="rId10">
            <anchor moveWithCells="1">
              <from>
                <xdr:col>0</xdr:col>
                <xdr:colOff>60960</xdr:colOff>
                <xdr:row>37</xdr:row>
                <xdr:rowOff>68580</xdr:rowOff>
              </from>
              <to>
                <xdr:col>4</xdr:col>
                <xdr:colOff>160020</xdr:colOff>
                <xdr:row>38</xdr:row>
                <xdr:rowOff>144780</xdr:rowOff>
              </to>
            </anchor>
          </objectPr>
        </oleObject>
      </mc:Choice>
      <mc:Fallback>
        <oleObject progId="Equation.3" shapeId="3076" r:id="rId9"/>
      </mc:Fallback>
    </mc:AlternateContent>
    <mc:AlternateContent xmlns:mc="http://schemas.openxmlformats.org/markup-compatibility/2006">
      <mc:Choice Requires="x14">
        <oleObject progId="Equation.3" shapeId="3077" r:id="rId11">
          <objectPr defaultSize="0" autoPict="0" r:id="rId12">
            <anchor moveWithCells="1">
              <from>
                <xdr:col>0</xdr:col>
                <xdr:colOff>137160</xdr:colOff>
                <xdr:row>229</xdr:row>
                <xdr:rowOff>152400</xdr:rowOff>
              </from>
              <to>
                <xdr:col>4</xdr:col>
                <xdr:colOff>480060</xdr:colOff>
                <xdr:row>231</xdr:row>
                <xdr:rowOff>76200</xdr:rowOff>
              </to>
            </anchor>
          </objectPr>
        </oleObject>
      </mc:Choice>
      <mc:Fallback>
        <oleObject progId="Equation.3" shapeId="3077" r:id="rId11"/>
      </mc:Fallback>
    </mc:AlternateContent>
    <mc:AlternateContent xmlns:mc="http://schemas.openxmlformats.org/markup-compatibility/2006">
      <mc:Choice Requires="x14">
        <oleObject progId="Equation.3" shapeId="3078" r:id="rId13">
          <objectPr defaultSize="0" autoPict="0" r:id="rId14">
            <anchor moveWithCells="1">
              <from>
                <xdr:col>0</xdr:col>
                <xdr:colOff>190500</xdr:colOff>
                <xdr:row>255</xdr:row>
                <xdr:rowOff>22860</xdr:rowOff>
              </from>
              <to>
                <xdr:col>4</xdr:col>
                <xdr:colOff>441960</xdr:colOff>
                <xdr:row>256</xdr:row>
                <xdr:rowOff>144780</xdr:rowOff>
              </to>
            </anchor>
          </objectPr>
        </oleObject>
      </mc:Choice>
      <mc:Fallback>
        <oleObject progId="Equation.3" shapeId="3078" r:id="rId13"/>
      </mc:Fallback>
    </mc:AlternateContent>
    <mc:AlternateContent xmlns:mc="http://schemas.openxmlformats.org/markup-compatibility/2006">
      <mc:Choice Requires="x14">
        <oleObject progId="Equation.3" shapeId="3084" r:id="rId15">
          <objectPr defaultSize="0" autoPict="0" r:id="rId4">
            <anchor moveWithCells="1">
              <from>
                <xdr:col>0</xdr:col>
                <xdr:colOff>76200</xdr:colOff>
                <xdr:row>307</xdr:row>
                <xdr:rowOff>38100</xdr:rowOff>
              </from>
              <to>
                <xdr:col>4</xdr:col>
                <xdr:colOff>114300</xdr:colOff>
                <xdr:row>309</xdr:row>
                <xdr:rowOff>83820</xdr:rowOff>
              </to>
            </anchor>
          </objectPr>
        </oleObject>
      </mc:Choice>
      <mc:Fallback>
        <oleObject progId="Equation.3" shapeId="3084" r:id="rId15"/>
      </mc:Fallback>
    </mc:AlternateContent>
    <mc:AlternateContent xmlns:mc="http://schemas.openxmlformats.org/markup-compatibility/2006">
      <mc:Choice Requires="x14">
        <oleObject progId="Equation.3" shapeId="3085" r:id="rId16">
          <objectPr defaultSize="0" autoPict="0" r:id="rId17">
            <anchor moveWithCells="1">
              <from>
                <xdr:col>1</xdr:col>
                <xdr:colOff>68580</xdr:colOff>
                <xdr:row>333</xdr:row>
                <xdr:rowOff>7620</xdr:rowOff>
              </from>
              <to>
                <xdr:col>4</xdr:col>
                <xdr:colOff>457200</xdr:colOff>
                <xdr:row>335</xdr:row>
                <xdr:rowOff>38100</xdr:rowOff>
              </to>
            </anchor>
          </objectPr>
        </oleObject>
      </mc:Choice>
      <mc:Fallback>
        <oleObject progId="Equation.3" shapeId="3085" r:id="rId16"/>
      </mc:Fallback>
    </mc:AlternateContent>
    <mc:AlternateContent xmlns:mc="http://schemas.openxmlformats.org/markup-compatibility/2006">
      <mc:Choice Requires="x14">
        <oleObject progId="Equation.3" shapeId="3086" r:id="rId18">
          <objectPr defaultSize="0" autoPict="0" r:id="rId19">
            <anchor moveWithCells="1">
              <from>
                <xdr:col>0</xdr:col>
                <xdr:colOff>106680</xdr:colOff>
                <xdr:row>357</xdr:row>
                <xdr:rowOff>220980</xdr:rowOff>
              </from>
              <to>
                <xdr:col>3</xdr:col>
                <xdr:colOff>830580</xdr:colOff>
                <xdr:row>360</xdr:row>
                <xdr:rowOff>22860</xdr:rowOff>
              </to>
            </anchor>
          </objectPr>
        </oleObject>
      </mc:Choice>
      <mc:Fallback>
        <oleObject progId="Equation.3" shapeId="3086" r:id="rId18"/>
      </mc:Fallback>
    </mc:AlternateContent>
    <mc:AlternateContent xmlns:mc="http://schemas.openxmlformats.org/markup-compatibility/2006">
      <mc:Choice Requires="x14">
        <oleObject progId="Equation.3" shapeId="3087" r:id="rId20">
          <objectPr defaultSize="0" autoPict="0" r:id="rId21">
            <anchor moveWithCells="1">
              <from>
                <xdr:col>0</xdr:col>
                <xdr:colOff>22860</xdr:colOff>
                <xdr:row>387</xdr:row>
                <xdr:rowOff>45720</xdr:rowOff>
              </from>
              <to>
                <xdr:col>3</xdr:col>
                <xdr:colOff>594360</xdr:colOff>
                <xdr:row>388</xdr:row>
                <xdr:rowOff>83820</xdr:rowOff>
              </to>
            </anchor>
          </objectPr>
        </oleObject>
      </mc:Choice>
      <mc:Fallback>
        <oleObject progId="Equation.3" shapeId="3087" r:id="rId20"/>
      </mc:Fallback>
    </mc:AlternateContent>
    <mc:AlternateContent xmlns:mc="http://schemas.openxmlformats.org/markup-compatibility/2006">
      <mc:Choice Requires="x14">
        <oleObject progId="Equation.3" shapeId="3088" r:id="rId22">
          <objectPr defaultSize="0" autoPict="0" r:id="rId23">
            <anchor moveWithCells="1">
              <from>
                <xdr:col>0</xdr:col>
                <xdr:colOff>99060</xdr:colOff>
                <xdr:row>411</xdr:row>
                <xdr:rowOff>213360</xdr:rowOff>
              </from>
              <to>
                <xdr:col>3</xdr:col>
                <xdr:colOff>670560</xdr:colOff>
                <xdr:row>413</xdr:row>
                <xdr:rowOff>22860</xdr:rowOff>
              </to>
            </anchor>
          </objectPr>
        </oleObject>
      </mc:Choice>
      <mc:Fallback>
        <oleObject progId="Equation.3" shapeId="3088" r:id="rId22"/>
      </mc:Fallback>
    </mc:AlternateContent>
    <mc:AlternateContent xmlns:mc="http://schemas.openxmlformats.org/markup-compatibility/2006">
      <mc:Choice Requires="x14">
        <oleObject progId="Equation.3" shapeId="3089" r:id="rId24">
          <objectPr defaultSize="0" autoPict="0" r:id="rId25">
            <anchor moveWithCells="1">
              <from>
                <xdr:col>0</xdr:col>
                <xdr:colOff>45720</xdr:colOff>
                <xdr:row>436</xdr:row>
                <xdr:rowOff>99060</xdr:rowOff>
              </from>
              <to>
                <xdr:col>7</xdr:col>
                <xdr:colOff>312420</xdr:colOff>
                <xdr:row>438</xdr:row>
                <xdr:rowOff>0</xdr:rowOff>
              </to>
            </anchor>
          </objectPr>
        </oleObject>
      </mc:Choice>
      <mc:Fallback>
        <oleObject progId="Equation.3" shapeId="3089" r:id="rId24"/>
      </mc:Fallback>
    </mc:AlternateContent>
    <mc:AlternateContent xmlns:mc="http://schemas.openxmlformats.org/markup-compatibility/2006">
      <mc:Choice Requires="x14">
        <oleObject progId="Equation.3" shapeId="3090" r:id="rId26">
          <objectPr defaultSize="0" autoPict="0" r:id="rId27">
            <anchor moveWithCells="1">
              <from>
                <xdr:col>0</xdr:col>
                <xdr:colOff>22860</xdr:colOff>
                <xdr:row>461</xdr:row>
                <xdr:rowOff>137160</xdr:rowOff>
              </from>
              <to>
                <xdr:col>8</xdr:col>
                <xdr:colOff>22860</xdr:colOff>
                <xdr:row>463</xdr:row>
                <xdr:rowOff>60960</xdr:rowOff>
              </to>
            </anchor>
          </objectPr>
        </oleObject>
      </mc:Choice>
      <mc:Fallback>
        <oleObject progId="Equation.3" shapeId="3090" r:id="rId26"/>
      </mc:Fallback>
    </mc:AlternateContent>
    <mc:AlternateContent xmlns:mc="http://schemas.openxmlformats.org/markup-compatibility/2006">
      <mc:Choice Requires="x14">
        <oleObject progId="Equation.3" shapeId="3091" r:id="rId28">
          <objectPr defaultSize="0" r:id="rId29">
            <anchor moveWithCells="1">
              <from>
                <xdr:col>1</xdr:col>
                <xdr:colOff>236220</xdr:colOff>
                <xdr:row>68</xdr:row>
                <xdr:rowOff>99060</xdr:rowOff>
              </from>
              <to>
                <xdr:col>3</xdr:col>
                <xdr:colOff>464820</xdr:colOff>
                <xdr:row>69</xdr:row>
                <xdr:rowOff>144780</xdr:rowOff>
              </to>
            </anchor>
          </objectPr>
        </oleObject>
      </mc:Choice>
      <mc:Fallback>
        <oleObject progId="Equation.3" shapeId="3091" r:id="rId28"/>
      </mc:Fallback>
    </mc:AlternateContent>
    <mc:AlternateContent xmlns:mc="http://schemas.openxmlformats.org/markup-compatibility/2006">
      <mc:Choice Requires="x14">
        <oleObject progId="Equation.3" shapeId="3092" r:id="rId30">
          <objectPr defaultSize="0" autoPict="0" r:id="rId31">
            <anchor moveWithCells="1">
              <from>
                <xdr:col>1</xdr:col>
                <xdr:colOff>251460</xdr:colOff>
                <xdr:row>69</xdr:row>
                <xdr:rowOff>175260</xdr:rowOff>
              </from>
              <to>
                <xdr:col>3</xdr:col>
                <xdr:colOff>464820</xdr:colOff>
                <xdr:row>71</xdr:row>
                <xdr:rowOff>30480</xdr:rowOff>
              </to>
            </anchor>
          </objectPr>
        </oleObject>
      </mc:Choice>
      <mc:Fallback>
        <oleObject progId="Equation.3" shapeId="3092" r:id="rId30"/>
      </mc:Fallback>
    </mc:AlternateContent>
    <mc:AlternateContent xmlns:mc="http://schemas.openxmlformats.org/markup-compatibility/2006">
      <mc:Choice Requires="x14">
        <oleObject progId="Equation.3" shapeId="3093" r:id="rId32">
          <objectPr defaultSize="0" autoPict="0" r:id="rId33">
            <anchor moveWithCells="1">
              <from>
                <xdr:col>1</xdr:col>
                <xdr:colOff>251460</xdr:colOff>
                <xdr:row>71</xdr:row>
                <xdr:rowOff>114300</xdr:rowOff>
              </from>
              <to>
                <xdr:col>4</xdr:col>
                <xdr:colOff>45720</xdr:colOff>
                <xdr:row>72</xdr:row>
                <xdr:rowOff>152400</xdr:rowOff>
              </to>
            </anchor>
          </objectPr>
        </oleObject>
      </mc:Choice>
      <mc:Fallback>
        <oleObject progId="Equation.3" shapeId="3093" r:id="rId32"/>
      </mc:Fallback>
    </mc:AlternateContent>
    <mc:AlternateContent xmlns:mc="http://schemas.openxmlformats.org/markup-compatibility/2006">
      <mc:Choice Requires="x14">
        <oleObject progId="Equation.3" shapeId="3094" r:id="rId34">
          <objectPr defaultSize="0" r:id="rId35">
            <anchor moveWithCells="1">
              <from>
                <xdr:col>1</xdr:col>
                <xdr:colOff>266700</xdr:colOff>
                <xdr:row>73</xdr:row>
                <xdr:rowOff>68580</xdr:rowOff>
              </from>
              <to>
                <xdr:col>4</xdr:col>
                <xdr:colOff>60960</xdr:colOff>
                <xdr:row>74</xdr:row>
                <xdr:rowOff>137160</xdr:rowOff>
              </to>
            </anchor>
          </objectPr>
        </oleObject>
      </mc:Choice>
      <mc:Fallback>
        <oleObject progId="Equation.3" shapeId="3094" r:id="rId34"/>
      </mc:Fallback>
    </mc:AlternateContent>
    <mc:AlternateContent xmlns:mc="http://schemas.openxmlformats.org/markup-compatibility/2006">
      <mc:Choice Requires="x14">
        <oleObject progId="Equation.3" shapeId="3095" r:id="rId36">
          <objectPr defaultSize="0" autoPict="0" r:id="rId37">
            <anchor moveWithCells="1">
              <from>
                <xdr:col>1</xdr:col>
                <xdr:colOff>266700</xdr:colOff>
                <xdr:row>74</xdr:row>
                <xdr:rowOff>190500</xdr:rowOff>
              </from>
              <to>
                <xdr:col>5</xdr:col>
                <xdr:colOff>114300</xdr:colOff>
                <xdr:row>76</xdr:row>
                <xdr:rowOff>22860</xdr:rowOff>
              </to>
            </anchor>
          </objectPr>
        </oleObject>
      </mc:Choice>
      <mc:Fallback>
        <oleObject progId="Equation.3" shapeId="3095" r:id="rId36"/>
      </mc:Fallback>
    </mc:AlternateContent>
    <mc:AlternateContent xmlns:mc="http://schemas.openxmlformats.org/markup-compatibility/2006">
      <mc:Choice Requires="x14">
        <oleObject progId="Equation.3" shapeId="3096" r:id="rId38">
          <objectPr defaultSize="0" autoPict="0" r:id="rId39">
            <anchor moveWithCells="1">
              <from>
                <xdr:col>1</xdr:col>
                <xdr:colOff>274320</xdr:colOff>
                <xdr:row>76</xdr:row>
                <xdr:rowOff>137160</xdr:rowOff>
              </from>
              <to>
                <xdr:col>6</xdr:col>
                <xdr:colOff>274320</xdr:colOff>
                <xdr:row>78</xdr:row>
                <xdr:rowOff>121920</xdr:rowOff>
              </to>
            </anchor>
          </objectPr>
        </oleObject>
      </mc:Choice>
      <mc:Fallback>
        <oleObject progId="Equation.3" shapeId="3096" r:id="rId38"/>
      </mc:Fallback>
    </mc:AlternateContent>
    <mc:AlternateContent xmlns:mc="http://schemas.openxmlformats.org/markup-compatibility/2006">
      <mc:Choice Requires="x14">
        <oleObject progId="Equation.3" shapeId="3097" r:id="rId40">
          <objectPr defaultSize="0" autoPict="0" r:id="rId41">
            <anchor moveWithCells="1">
              <from>
                <xdr:col>0</xdr:col>
                <xdr:colOff>60960</xdr:colOff>
                <xdr:row>59</xdr:row>
                <xdr:rowOff>68580</xdr:rowOff>
              </from>
              <to>
                <xdr:col>3</xdr:col>
                <xdr:colOff>259080</xdr:colOff>
                <xdr:row>62</xdr:row>
                <xdr:rowOff>30480</xdr:rowOff>
              </to>
            </anchor>
          </objectPr>
        </oleObject>
      </mc:Choice>
      <mc:Fallback>
        <oleObject progId="Equation.3" shapeId="3097" r:id="rId40"/>
      </mc:Fallback>
    </mc:AlternateContent>
    <mc:AlternateContent xmlns:mc="http://schemas.openxmlformats.org/markup-compatibility/2006">
      <mc:Choice Requires="x14">
        <oleObject progId="Equation.3" shapeId="3098" r:id="rId42">
          <objectPr defaultSize="0" autoPict="0" r:id="rId43">
            <anchor moveWithCells="1">
              <from>
                <xdr:col>0</xdr:col>
                <xdr:colOff>30480</xdr:colOff>
                <xdr:row>63</xdr:row>
                <xdr:rowOff>45720</xdr:rowOff>
              </from>
              <to>
                <xdr:col>3</xdr:col>
                <xdr:colOff>403860</xdr:colOff>
                <xdr:row>66</xdr:row>
                <xdr:rowOff>22860</xdr:rowOff>
              </to>
            </anchor>
          </objectPr>
        </oleObject>
      </mc:Choice>
      <mc:Fallback>
        <oleObject progId="Equation.3" shapeId="3098" r:id="rId42"/>
      </mc:Fallback>
    </mc:AlternateContent>
    <mc:AlternateContent xmlns:mc="http://schemas.openxmlformats.org/markup-compatibility/2006">
      <mc:Choice Requires="x14">
        <oleObject progId="Equation.3" shapeId="3100" r:id="rId44">
          <objectPr defaultSize="0" autoPict="0" r:id="rId45">
            <anchor moveWithCells="1" sizeWithCells="1">
              <from>
                <xdr:col>0</xdr:col>
                <xdr:colOff>30480</xdr:colOff>
                <xdr:row>3</xdr:row>
                <xdr:rowOff>144780</xdr:rowOff>
              </from>
              <to>
                <xdr:col>5</xdr:col>
                <xdr:colOff>152400</xdr:colOff>
                <xdr:row>5</xdr:row>
                <xdr:rowOff>60960</xdr:rowOff>
              </to>
            </anchor>
          </objectPr>
        </oleObject>
      </mc:Choice>
      <mc:Fallback>
        <oleObject progId="Equation.3" shapeId="3100" r:id="rId4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Изчисление</vt:lpstr>
      <vt:lpstr>Текст Моментум 360</vt:lpstr>
      <vt:lpstr>Текст Теория на удара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</dc:creator>
  <cp:lastModifiedBy>Dancho</cp:lastModifiedBy>
  <dcterms:created xsi:type="dcterms:W3CDTF">2014-12-10T09:48:52Z</dcterms:created>
  <dcterms:modified xsi:type="dcterms:W3CDTF">2025-09-20T17:28:21Z</dcterms:modified>
</cp:coreProperties>
</file>